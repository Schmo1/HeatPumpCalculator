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ate1904="0"/>
  <bookViews>
    <workbookView xWindow="360" yWindow="15" windowWidth="20955" windowHeight="9720" activeTab="0"/>
  </bookViews>
  <sheets>
    <sheet name="Abrechnung" sheetId="1" state="visible" r:id="rId3"/>
    <sheet name="Wasser Verbrauch" sheetId="2" state="visible" r:id="rId4"/>
    <sheet name="Kosten 2024" sheetId="3" state="visible" r:id="rId5"/>
    <sheet name="Kosten 2025-1" sheetId="4" state="visible" r:id="rId6"/>
    <sheet name="Kosten 2025-2" sheetId="5" state="visible" r:id="rId7"/>
    <sheet name="Kosten 2026-1" sheetId="6" state="visible" r:id="rId8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tc={006B00B0-0045-4147-8C8C-009F000C002E}</author>
  </authors>
  <commentList>
    <comment ref="G1" authorId="0" xr:uid="{006B00B0-0045-4147-8C8C-009F000C002E}">
      <text>
        <r>
          <rPr>
            <b/>
            <sz val="9"/>
            <rFont val="Tahoma"/>
          </rPr>
          <t xml:space="preserve">David Schmoranz:</t>
        </r>
        <r>
          <rPr>
            <sz val="9"/>
            <rFont val="Tahoma"/>
          </rPr>
          <t xml:space="preserve">
Berechnet auf Wasserverbrauchstabelle
</t>
        </r>
      </text>
    </comment>
  </commentList>
</comments>
</file>

<file path=xl/sharedStrings.xml><?xml version="1.0" encoding="utf-8"?>
<sst xmlns="http://schemas.openxmlformats.org/spreadsheetml/2006/main" count="55" uniqueCount="55">
  <si>
    <t>Jahr</t>
  </si>
  <si>
    <t xml:space="preserve">Verbrauch Gesamt</t>
  </si>
  <si>
    <t xml:space="preserve">Zählerstand Heizung</t>
  </si>
  <si>
    <t xml:space="preserve">Verbrauch Heizung</t>
  </si>
  <si>
    <t xml:space="preserve">Kosten David Gesamt</t>
  </si>
  <si>
    <t xml:space="preserve">Kosten gesamt Heizung</t>
  </si>
  <si>
    <t xml:space="preserve">Anteil in Prozent Sarah</t>
  </si>
  <si>
    <t xml:space="preserve">Kosten David</t>
  </si>
  <si>
    <t xml:space="preserve">Kosten Sarah</t>
  </si>
  <si>
    <t>2025/1</t>
  </si>
  <si>
    <t>2025/2</t>
  </si>
  <si>
    <t>2026/1</t>
  </si>
  <si>
    <t>Rechnungen:</t>
  </si>
  <si>
    <t>https://meinkonto.vkw.at/invoices</t>
  </si>
  <si>
    <t xml:space="preserve">Verbrauch: </t>
  </si>
  <si>
    <t>https://online-services.vkw.at/powercommerce/portal/consumptionDetails</t>
  </si>
  <si>
    <t xml:space="preserve">Jahr / Jahreshälfte</t>
  </si>
  <si>
    <t xml:space="preserve">Zählerstand gesamt</t>
  </si>
  <si>
    <t xml:space="preserve">Verbrauch gesamt</t>
  </si>
  <si>
    <t xml:space="preserve">Zählerstand Kalt David</t>
  </si>
  <si>
    <t xml:space="preserve">Zählerstand Warm David</t>
  </si>
  <si>
    <t xml:space="preserve">Verbrauch Kalt David</t>
  </si>
  <si>
    <t xml:space="preserve">Verbrauch Warm David</t>
  </si>
  <si>
    <t xml:space="preserve">Verbrauch gesamt David</t>
  </si>
  <si>
    <t xml:space="preserve">Zählerstand Kalt Sarah</t>
  </si>
  <si>
    <t xml:space="preserve">Zählerstand Warm Sarah</t>
  </si>
  <si>
    <t xml:space="preserve">Verbrauch Kalt Sarah</t>
  </si>
  <si>
    <t xml:space="preserve">Verbrauch Warm Sarah</t>
  </si>
  <si>
    <t xml:space="preserve">Verbrauch gesamt Sarah</t>
  </si>
  <si>
    <t xml:space="preserve">Verhältnis Sarah Warm</t>
  </si>
  <si>
    <t xml:space="preserve">Verhältnis Sarah Gesamt</t>
  </si>
  <si>
    <t>Init</t>
  </si>
  <si>
    <t>Monat</t>
  </si>
  <si>
    <t>Kosten</t>
  </si>
  <si>
    <t>Kommentar</t>
  </si>
  <si>
    <t>Juli-September</t>
  </si>
  <si>
    <t>October</t>
  </si>
  <si>
    <t>November</t>
  </si>
  <si>
    <t>December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</si>
  <si>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</si>
  <si>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</si>
  <si>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</si>
  <si>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</si>
  <si>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</si>
  <si>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</si>
  <si>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</si>
  <si>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</si>
  <si>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Verbrauch</t>
  </si>
  <si>
    <t>August</t>
  </si>
  <si>
    <t>September</t>
  </si>
  <si>
    <t>Januar</t>
  </si>
  <si>
    <t>Februar</t>
  </si>
  <si>
    <t>März</t>
  </si>
  <si>
    <t>Mai</t>
  </si>
  <si>
    <t>Juni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</si>
</sst>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[$€-C07]\ #,##0.00;\-[$€-C07]\ #,##0.00"/>
    <numFmt numFmtId="165" formatCode="&quot;€&quot;\ #,##0.00"/>
    <numFmt numFmtId="166" formatCode="[$€-C07]\ #,##0.00"/>
    <numFmt numFmtId="167" formatCode="0.00\ &quot;m³&quot;"/>
    <numFmt numFmtId="168" formatCode="#,##0.00\ [$€-1]"/>
    <numFmt numFmtId="169" formatCode="[$€-2]\ #,##0.00"/>
  </numFmts>
  <fonts count="11">
    <font>
      <sz val="11.000000"/>
      <color theme="1"/>
      <name val="Calibri"/>
      <scheme val="minor"/>
    </font>
    <font>
      <sz val="11.000000"/>
      <color rgb="FF9C0006"/>
      <name val="Calibri"/>
      <scheme val="minor"/>
    </font>
    <font>
      <u/>
      <sz val="11.000000"/>
      <color theme="10"/>
      <name val="Calibri"/>
      <scheme val="minor"/>
    </font>
    <font>
      <sz val="11.000000"/>
      <color theme="7" tint="-0.249977111117893"/>
      <name val="Calibri"/>
      <scheme val="minor"/>
    </font>
    <font>
      <sz val="11.000000"/>
      <color indexed="2"/>
      <name val="Calibri"/>
      <scheme val="minor"/>
    </font>
    <font>
      <b/>
      <sz val="11.000000"/>
      <color theme="1"/>
      <name val="Calibri"/>
      <scheme val="minor"/>
    </font>
    <font>
      <sz val="11.000000"/>
      <color theme="4" tint="-0.24994659260841701"/>
      <name val="Calibri"/>
      <scheme val="minor"/>
    </font>
    <font>
      <sz val="11.000000"/>
      <color theme="7" tint="-0.24994659260841701"/>
      <name val="Calibri"/>
      <scheme val="minor"/>
    </font>
    <font>
      <sz val="11.000000"/>
      <color theme="5" tint="-0.24994659260841701"/>
      <name val="Calibri"/>
      <scheme val="minor"/>
    </font>
    <font>
      <sz val="11.000000"/>
      <color theme="4" tint="-0.499984740745262"/>
      <name val="Calibri"/>
      <scheme val="minor"/>
    </font>
    <font>
      <b/>
      <sz val="16.00000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-0.24994659260841701"/>
      </patternFill>
    </fill>
    <fill>
      <patternFill patternType="solid">
        <fgColor rgb="FF00B050"/>
      </patternFill>
    </fill>
    <fill>
      <patternFill patternType="solid">
        <fgColor theme="0" tint="-0.049989318521683403"/>
        <bgColor rgb="FFFF99FF"/>
      </patternFill>
    </fill>
    <fill>
      <patternFill patternType="solid">
        <fgColor theme="9" tint="0.39994506668294322"/>
      </patternFill>
    </fill>
    <fill>
      <patternFill patternType="solid">
        <fgColor theme="0" tint="-0.24994659260841701"/>
        <bgColor rgb="FFFF99FF"/>
      </patternFill>
    </fill>
    <fill>
      <patternFill patternType="solid">
        <fgColor theme="9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 applyProtection="0"/>
    <xf fontId="2" fillId="0" borderId="0" numFmtId="0" applyNumberFormat="0" applyFont="1" applyFill="0" applyBorder="0" applyProtection="0"/>
    <xf fontId="0" fillId="0" borderId="0" numFmtId="9" applyNumberFormat="1" applyFont="0" applyFill="0" applyBorder="0" applyProtection="0"/>
  </cellStyleXfs>
  <cellXfs count="60">
    <xf fontId="0" fillId="0" borderId="0" numFmtId="0" xfId="0"/>
    <xf fontId="0" fillId="0" borderId="0" numFmtId="2" xfId="0" applyNumberFormat="1"/>
    <xf fontId="3" fillId="0" borderId="0" numFmtId="2" xfId="0" applyNumberFormat="1" applyFont="1"/>
    <xf fontId="0" fillId="0" borderId="0" numFmtId="164" xfId="0" applyNumberFormat="1"/>
    <xf fontId="4" fillId="0" borderId="0" numFmtId="2" xfId="0" applyNumberFormat="1" applyFont="1"/>
    <xf fontId="0" fillId="0" borderId="0" numFmtId="165" xfId="0" applyNumberFormat="1"/>
    <xf fontId="5" fillId="0" borderId="0" numFmtId="166" xfId="0" applyNumberFormat="1" applyFont="1"/>
    <xf fontId="0" fillId="0" borderId="0" numFmtId="0" xfId="0" applyAlignment="1">
      <alignment horizontal="right"/>
    </xf>
    <xf fontId="0" fillId="0" borderId="0" numFmtId="10" xfId="0" applyNumberFormat="1"/>
    <xf fontId="4" fillId="0" borderId="0" numFmtId="10" xfId="0" applyNumberFormat="1" applyFont="1"/>
    <xf fontId="2" fillId="0" borderId="0" numFmtId="0" xfId="2" applyFont="1"/>
    <xf fontId="0" fillId="3" borderId="0" numFmtId="0" xfId="0" applyFill="1"/>
    <xf fontId="0" fillId="4" borderId="0" numFmtId="0" xfId="0" applyFill="1"/>
    <xf fontId="0" fillId="5" borderId="0" numFmtId="2" xfId="3" applyNumberFormat="1" applyFill="1"/>
    <xf fontId="0" fillId="5" borderId="1" numFmtId="2" xfId="3" applyNumberFormat="1" applyFill="1" applyBorder="1"/>
    <xf fontId="6" fillId="0" borderId="0" numFmtId="167" xfId="0" applyNumberFormat="1" applyFont="1"/>
    <xf fontId="7" fillId="0" borderId="0" numFmtId="167" xfId="0" applyNumberFormat="1" applyFont="1"/>
    <xf fontId="1" fillId="2" borderId="0" numFmtId="2" xfId="1" applyNumberFormat="1" applyFont="1" applyFill="1"/>
    <xf fontId="6" fillId="6" borderId="0" numFmtId="167" xfId="0" applyNumberFormat="1" applyFont="1" applyFill="1"/>
    <xf fontId="7" fillId="6" borderId="0" numFmtId="167" xfId="0" applyNumberFormat="1" applyFont="1" applyFill="1"/>
    <xf fontId="1" fillId="2" borderId="0" numFmtId="0" xfId="1" applyFont="1" applyFill="1"/>
    <xf fontId="0" fillId="7" borderId="0" numFmtId="0" xfId="3" applyFill="1"/>
    <xf fontId="8" fillId="7" borderId="1" numFmtId="167" xfId="3" applyNumberFormat="1" applyFont="1" applyFill="1" applyBorder="1"/>
    <xf fontId="8" fillId="7" borderId="0" numFmtId="167" xfId="3" applyNumberFormat="1" applyFont="1" applyFill="1"/>
    <xf fontId="9" fillId="0" borderId="0" numFmtId="167" xfId="0" applyNumberFormat="1" applyFont="1"/>
    <xf fontId="4" fillId="0" borderId="0" numFmtId="167" xfId="0" applyNumberFormat="1" applyFont="1"/>
    <xf fontId="5" fillId="0" borderId="0" numFmtId="167" xfId="0" applyNumberFormat="1" applyFont="1"/>
    <xf fontId="6" fillId="8" borderId="0" numFmtId="167" xfId="0" applyNumberFormat="1" applyFont="1" applyFill="1"/>
    <xf fontId="7" fillId="8" borderId="0" numFmtId="167" xfId="0" applyNumberFormat="1" applyFont="1" applyFill="1"/>
    <xf fontId="9" fillId="8" borderId="0" numFmtId="167" xfId="0" applyNumberFormat="1" applyFont="1" applyFill="1"/>
    <xf fontId="4" fillId="8" borderId="0" numFmtId="167" xfId="0" applyNumberFormat="1" applyFont="1" applyFill="1"/>
    <xf fontId="5" fillId="8" borderId="0" numFmtId="167" xfId="0" applyNumberFormat="1" applyFont="1" applyFill="1"/>
    <xf fontId="10" fillId="5" borderId="0" numFmtId="2" xfId="3" applyNumberFormat="1" applyFont="1" applyFill="1"/>
    <xf fontId="0" fillId="7" borderId="0" numFmtId="2" xfId="3" applyNumberFormat="1" applyFill="1"/>
    <xf fontId="0" fillId="5" borderId="0" numFmtId="0" xfId="3" applyFill="1" quotePrefix="1"/>
    <xf fontId="8" fillId="5" borderId="1" numFmtId="167" xfId="3" applyNumberFormat="1" applyFont="1" applyFill="1" applyBorder="1"/>
    <xf fontId="8" fillId="5" borderId="0" numFmtId="167" xfId="3" applyNumberFormat="1" applyFont="1" applyFill="1"/>
    <xf fontId="9" fillId="6" borderId="0" numFmtId="167" xfId="0" applyNumberFormat="1" applyFont="1" applyFill="1"/>
    <xf fontId="4" fillId="6" borderId="0" numFmtId="167" xfId="0" applyNumberFormat="1" applyFont="1" applyFill="1"/>
    <xf fontId="5" fillId="6" borderId="0" numFmtId="167" xfId="0" applyNumberFormat="1" applyFont="1" applyFill="1"/>
    <xf fontId="10" fillId="7" borderId="0" numFmtId="2" xfId="3" applyNumberFormat="1" applyFont="1" applyFill="1"/>
    <xf fontId="0" fillId="5" borderId="0" numFmtId="0" xfId="3" applyFill="1"/>
    <xf fontId="8" fillId="0" borderId="0" numFmtId="167" xfId="0" applyNumberFormat="1" applyFont="1"/>
    <xf fontId="6" fillId="0" borderId="0" numFmtId="0" xfId="0" applyFont="1"/>
    <xf fontId="7" fillId="0" borderId="0" numFmtId="0" xfId="0" applyFont="1"/>
    <xf fontId="9" fillId="0" borderId="0" numFmtId="0" xfId="0" applyFont="1"/>
    <xf fontId="8" fillId="0" borderId="0" numFmtId="0" xfId="0" applyFont="1"/>
    <xf fontId="5" fillId="0" borderId="0" numFmtId="0" xfId="0" applyFont="1"/>
    <xf fontId="6" fillId="8" borderId="0" numFmtId="0" xfId="0" applyFont="1" applyFill="1"/>
    <xf fontId="7" fillId="8" borderId="0" numFmtId="0" xfId="0" applyFont="1" applyFill="1"/>
    <xf fontId="5" fillId="8" borderId="0" numFmtId="0" xfId="0" applyFont="1" applyFill="1"/>
    <xf fontId="10" fillId="5" borderId="0" numFmtId="0" xfId="3" applyFont="1" applyFill="1"/>
    <xf fontId="0" fillId="0" borderId="0" numFmtId="0" xfId="0" applyAlignment="1">
      <alignment horizontal="center"/>
    </xf>
    <xf fontId="0" fillId="0" borderId="0" numFmtId="168" xfId="0" applyNumberFormat="1" applyAlignment="1">
      <alignment horizontal="center"/>
    </xf>
    <xf fontId="0" fillId="0" borderId="0" numFmtId="164" xfId="0" applyNumberFormat="1" applyAlignment="1">
      <alignment horizontal="right"/>
    </xf>
    <xf fontId="0" fillId="0" borderId="0" numFmtId="168" xfId="0" applyNumberFormat="1" applyAlignment="1">
      <alignment horizontal="right"/>
    </xf>
    <xf fontId="0" fillId="0" borderId="0" numFmtId="169" xfId="0" applyNumberFormat="1"/>
    <xf fontId="0" fillId="0" borderId="0" numFmtId="2" xfId="0" applyNumberFormat="1" applyAlignment="1">
      <alignment horizontal="right"/>
    </xf>
    <xf fontId="0" fillId="0" borderId="0" numFmtId="166" xfId="0" applyNumberFormat="1"/>
    <xf fontId="0" fillId="0" borderId="0" numFmtId="0" xfId="0"/>
  </cellXfs>
  <cellStyles count="4">
    <cellStyle name="Bad" xfId="1" builtinId="27"/>
    <cellStyle name="Hyperlink" xfId="2" builtinId="8"/>
    <cellStyle name="Normal" xfId="0" builtinId="0"/>
    <cellStyle name="Percent" xfId="3" builtinId="5"/>
  </cellStyles>
  <dxfs count="29">
    <dxf>
      <font>
        <strike val="0"/>
        <u val="none"/>
        <vertAlign val="baseline"/>
        <sz val="11.000000"/>
        <color theme="7" tint="-0.249977111117893"/>
        <name val="Calibri"/>
        <scheme val="minor"/>
      </font>
      <numFmt numFmtId="2" formatCode="0.00"/>
    </dxf>
    <dxf>
      <font>
        <strike val="0"/>
        <u val="none"/>
        <vertAlign val="baseline"/>
        <sz val="11.000000"/>
        <color theme="7" tint="-0.249977111117893"/>
        <name val="Calibri"/>
        <scheme val="minor"/>
      </font>
      <numFmt numFmtId="2" formatCode="0.00"/>
    </dxf>
    <dxf>
      <numFmt numFmtId="2" formatCode="0.00"/>
    </dxf>
    <dxf>
      <numFmt numFmtId="164" formatCode="[$€-C07]\ #,##0.00;\-[$€-C07]\ #,##0.00"/>
    </dxf>
    <dxf>
      <numFmt numFmtId="164" formatCode="[$€-C07]\ #,##0.00;\-[$€-C07]\ #,##0.00"/>
    </dxf>
    <dxf>
      <font>
        <strike val="0"/>
        <u val="none"/>
        <vertAlign val="baseline"/>
        <sz val="11.000000"/>
        <color indexed="2"/>
        <name val="Calibri"/>
        <scheme val="minor"/>
      </font>
      <numFmt numFmtId="10" formatCode="0.00%"/>
    </dxf>
    <dxf>
      <numFmt numFmtId="165" formatCode="&quot;€&quot;\ #,##0.00"/>
    </dxf>
    <dxf>
      <font>
        <b/>
      </font>
      <numFmt numFmtId="166" formatCode="[$€-C07]\ #,##0.00"/>
    </dxf>
    <dxf>
      <font>
        <b val="0"/>
        <i val="0"/>
        <strike val="0"/>
        <u val="none"/>
        <vertAlign val="baseline"/>
        <sz val="11.000000"/>
        <color theme="1"/>
        <name val="Calibri"/>
        <scheme val="minor"/>
      </font>
      <numFmt numFmtId="2" formatCode="0.00"/>
      <fill>
        <patternFill patternType="solid">
          <fgColor rgb="FFFF99FF"/>
          <bgColor theme="0" tint="-0.049989318521683403"/>
        </patternFill>
      </fill>
    </dxf>
    <dxf>
      <numFmt numFmtId="2" formatCode="0.00"/>
      <fill>
        <patternFill patternType="solid">
          <fgColor rgb="FFFF99FF"/>
          <bgColor theme="0" tint="-0.049989318521683403"/>
        </patternFill>
      </fill>
      <border>
        <left style="thin">
          <color auto="1"/>
        </left>
        <right style="medium">
          <color auto="1"/>
        </right>
        <top style="none"/>
        <bottom style="none"/>
        <diagonal style="none"/>
        <vertical style="none"/>
        <horizontal style="none"/>
      </border>
    </dxf>
    <dxf>
      <font>
        <b val="0"/>
        <i val="0"/>
        <strike val="0"/>
        <u val="none"/>
        <vertAlign val="baseline"/>
        <sz val="11.000000"/>
        <color theme="5" tint="-0.24994659260841701"/>
        <name val="Calibri"/>
        <scheme val="minor"/>
      </font>
      <numFmt numFmtId="167" formatCode="0.00\ &quot;m³&quot;"/>
      <fill>
        <patternFill patternType="solid">
          <fgColor rgb="FFFF99FF"/>
          <bgColor theme="0" tint="-0.24994659260841701"/>
        </patternFill>
      </fill>
    </dxf>
    <dxf>
      <font>
        <b val="0"/>
        <i val="0"/>
        <strike val="0"/>
        <u val="none"/>
        <vertAlign val="baseline"/>
        <sz val="11.000000"/>
        <color theme="4" tint="-0.24994659260841701"/>
        <name val="Calibri"/>
        <scheme val="minor"/>
      </font>
      <numFmt numFmtId="2" formatCode="0.00"/>
      <border>
        <left style="medium">
          <color auto="1"/>
        </left>
        <right style="none"/>
        <top style="none"/>
        <bottom style="none"/>
        <diagonal style="none"/>
      </border>
    </dxf>
    <dxf>
      <font>
        <b val="0"/>
        <i val="0"/>
        <strike val="0"/>
        <u val="none"/>
        <vertAlign val="baseline"/>
        <sz val="11.000000"/>
        <color theme="7" tint="-0.24994659260841701"/>
        <name val="Calibri"/>
        <scheme val="minor"/>
      </font>
      <numFmt numFmtId="2" formatCode="0.00"/>
    </dxf>
    <dxf>
      <font>
        <b val="0"/>
        <i val="0"/>
        <strike val="0"/>
        <u val="none"/>
        <vertAlign val="baseline"/>
        <sz val="11.000000"/>
        <color theme="7" tint="-0.24994659260841701"/>
        <name val="Calibri"/>
        <scheme val="minor"/>
      </font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u val="none"/>
        <vertAlign val="baseline"/>
        <sz val="11.000000"/>
        <color theme="4" tint="-0.24994659260841701"/>
        <name val="Calibri"/>
        <scheme val="minor"/>
      </font>
      <numFmt numFmtId="2" formatCode="0.00"/>
      <fill>
        <patternFill patternType="solid">
          <fgColor theme="9" tint="0.39994506668294322"/>
          <bgColor theme="9" tint="0.39994506668294322"/>
        </patternFill>
      </fill>
    </dxf>
    <dxf>
      <font>
        <b val="0"/>
        <i val="0"/>
        <strike val="0"/>
        <u val="none"/>
        <vertAlign val="baseline"/>
        <sz val="11.000000"/>
        <color theme="7" tint="-0.24994659260841701"/>
        <name val="Calibri"/>
        <scheme val="minor"/>
      </font>
      <numFmt numFmtId="2" formatCode="0.00"/>
      <fill>
        <patternFill patternType="solid">
          <fgColor theme="9" tint="0.39994506668294322"/>
          <bgColor theme="9" tint="0.39994506668294322"/>
        </patternFill>
      </fill>
    </dxf>
    <dxf>
      <numFmt numFmtId="2" formatCode="0.00"/>
      <fill>
        <patternFill patternType="solid">
          <fgColor theme="9" tint="0.39994506668294322"/>
          <bgColor theme="9" tint="0.39994506668294322"/>
        </patternFill>
      </fill>
    </dxf>
    <dxf>
      <numFmt numFmtId="2" formatCode="0.00"/>
      <fill>
        <patternFill patternType="solid">
          <fgColor theme="9" tint="0.39994506668294322"/>
          <bgColor theme="9" tint="0.39994506668294322"/>
        </patternFill>
      </fill>
    </dxf>
    <dxf>
      <numFmt numFmtId="2" formatCode="0.00"/>
      <fill>
        <patternFill patternType="solid">
          <fgColor theme="9" tint="0.39994506668294322"/>
          <bgColor theme="9" tint="0.39994506668294322"/>
        </patternFill>
      </fill>
    </dxf>
    <dxf>
      <numFmt numFmtId="0" formatCode="General"/>
      <fill>
        <gradientFill type="path" left="0" right="0" top="0" bottom="0" degree="90">
          <stop position="0">
            <color theme="5" tint="0.80001220740379042"/>
          </stop>
          <stop position="1">
            <color theme="5" tint="0.40000610370189521"/>
          </stop>
        </gradientFill>
      </fill>
    </dxf>
    <dxf>
      <numFmt numFmtId="2" formatCode="0.00"/>
      <fill>
        <patternFill patternType="solid">
          <fgColor theme="9" tint="0.39994506668294322"/>
          <bgColor theme="9" tint="0.39994506668294322"/>
        </patternFill>
      </fill>
    </dxf>
    <dxf>
      <numFmt numFmtId="164" formatCode="[$€-C07]\ #,##0.00;\-[$€-C07]\ #,##0.00"/>
      <alignment horizontal="right" indent="0" readingOrder="0" relativeIndent="0" shrinkToFit="0" textRotation="0" vertical="bottom" wrapText="0"/>
    </dxf>
    <dxf>
      <numFmt numFmtId="169" formatCode="[$€-2]\ #,##0.00"/>
      <alignment horizontal="right" indent="0" readingOrder="0" relativeIndent="0" shrinkToFit="0" textRotation="0" vertical="bottom" wrapText="0"/>
    </dxf>
    <dxf>
      <numFmt numFmtId="169" formatCode="[$€-2]\ #,##0.00"/>
      <alignment horizontal="right" indent="0" readingOrder="0" relativeIndent="0" shrinkToFit="0" textRotation="0" vertical="bottom" wrapText="0"/>
    </dxf>
    <dxf>
      <numFmt numFmtId="2" formatCode="0.00"/>
    </dxf>
    <dxf/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 Schmoranz" id="{2E87330E-7768-8A14-EED2-7D8C8F3B8C1F}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3" ref="A1:I27">
  <autoFilter ref="A1:I27"/>
  <tableColumns count="9">
    <tableColumn id="1" name="Jahr"/>
    <tableColumn id="2" name="Verbrauch Gesamt" dataDxfId="0"/>
    <tableColumn id="3" name="Zählerstand Heizung" dataDxfId="1"/>
    <tableColumn id="4" name="Verbrauch Heizung" dataDxfId="2"/>
    <tableColumn id="5" name="Kosten David Gesamt" dataDxfId="3"/>
    <tableColumn id="6" name="Kosten gesamt Heizung" dataDxfId="4"/>
    <tableColumn id="7" name="Anteil in Prozent Sarah" dataDxfId="5"/>
    <tableColumn id="8" name="Kosten David" dataDxfId="6"/>
    <tableColumn id="9" name="Kosten Sarah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WasserTable" ref="A1:O17">
  <autoFilter ref="A1:O17"/>
  <tableColumns count="15">
    <tableColumn id="1" name="Jahr / Jahreshälfte" dataDxfId="8"/>
    <tableColumn id="2" name="Zählerstand gesamt" dataDxfId="9"/>
    <tableColumn id="3" name="Verbrauch gesamt" dataDxfId="10"/>
    <tableColumn id="4" name="Zählerstand Kalt David" dataDxfId="11"/>
    <tableColumn id="5" name="Zählerstand Warm David" dataDxfId="12"/>
    <tableColumn id="6" name="Verbrauch Kalt David" dataDxfId="13"/>
    <tableColumn id="7" name="Verbrauch Warm David" dataDxfId="14"/>
    <tableColumn id="8" name="Verbrauch gesamt David" dataDxfId="15"/>
    <tableColumn id="9" name="Zählerstand Kalt Sarah" dataDxfId="16"/>
    <tableColumn id="10" name="Zählerstand Warm Sarah" dataDxfId="17"/>
    <tableColumn id="11" name="Verbrauch Kalt Sarah" dataDxfId="18"/>
    <tableColumn id="12" name="Verbrauch Warm Sarah" dataDxfId="19"/>
    <tableColumn id="13" name="Verbrauch gesamt Sarah" dataDxfId="20"/>
    <tableColumn id="14" name="Verhältnis Sarah Warm" dataDxfId="21"/>
    <tableColumn id="15" name="Verhältnis Sarah Gesamt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1" ref="A1:C6" totalsRowCount="1">
  <autoFilter ref="A1:C5"/>
  <tableColumns count="3">
    <tableColumn id="1" name="Monat" totalsRowLabel="Total"/>
    <tableColumn id="2" name="Kosten" totalsRowFunction="sum" dataDxfId="23"/>
    <tableColumn id="3" name="Komment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15" ref="A1:C9" totalsRowCount="1">
  <autoFilter ref="A1:C8"/>
  <tableColumns count="3">
    <tableColumn id="1" name="Monat" totalsRowLabel="Total"/>
    <tableColumn id="2" name="Kosten" totalsRowFunction="sum" dataDxfId="24"/>
    <tableColumn id="3" name="Komment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Kosten2025q2" ref="A1:D7" totalsRowCount="1">
  <autoFilter ref="A1:D6"/>
  <tableColumns count="4">
    <tableColumn id="1" name="Monat" totalsRowLabel="Total"/>
    <tableColumn id="2" name="Kosten" totalsRowFunction="sum" dataDxfId="25"/>
    <tableColumn id="3" name="Verbrauch" totalsRowFunction="sum" dataDxfId="26"/>
    <tableColumn id="4" name="Komment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Kosten2026q1" ref="A1:D8" totalsRowCount="1">
  <autoFilter ref="A1:D7"/>
  <tableColumns count="4">
    <tableColumn id="1" name="Monat" totalsRowLabel="Total"/>
    <tableColumn id="2" name="Kosten" totalsRowFunction="custom" dataDxfId="27">
      <totalsRowFormula>SUBTOTAL(109,Kosten2026q1[Kosten])</totalsRowFormula>
    </tableColumn>
    <tableColumn id="3" name="Verbrauch" totalsRowFunction="custom" dataDxfId="28">
      <totalsRowFormula>SUBTOTAL(109,Kosten2026q1[Verbrauch])</totalsRowFormula>
    </tableColumn>
    <tableColumn id="4" name="Kommenta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personId="{2E87330E-7768-8A14-EED2-7D8C8F3B8C1F}" id="{006B00B0-0045-4147-8C8C-009F000C002E}" done="0">
    <text xml:space="preserve">Berechnet auf Wasserverbrauchstabelle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meinkonto.vkw.at/invoices" TargetMode="External"/><Relationship  Id="rId2" Type="http://schemas.openxmlformats.org/officeDocument/2006/relationships/hyperlink" Target="https://online-services.vkw.at/powercommerce/portal/consumptionDetails" TargetMode="External"/><Relationship  Id="rId3" Type="http://schemas.microsoft.com/office/2017/10/relationships/threadedComment" Target="../threadedComments/threadedComment1.xml"/><Relationship  Id="rId4" Type="http://schemas.openxmlformats.org/officeDocument/2006/relationships/comments" Target="../comments1.xml"/><Relationship  Id="rId5" Type="http://schemas.openxmlformats.org/officeDocument/2006/relationships/vmlDrawing" Target="../drawings/vmlDrawing1.vml"/><Relationship  Id="rId6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1">
    <tabColor theme="5" tint="-0.249977111117893"/>
    <outlinePr applyStyles="0" summaryBelow="1" summaryRight="1" showOutlineSymbols="1"/>
    <pageSetUpPr autoPageBreaks="1" fitToPage="0"/>
  </sheetPr>
  <sheetViews>
    <sheetView topLeftCell="D1" zoomScale="100" workbookViewId="0">
      <selection activeCell="N19" activeCellId="0" sqref="N19"/>
    </sheetView>
  </sheetViews>
  <sheetFormatPr defaultColWidth="9.140625" defaultRowHeight="14.25"/>
  <cols>
    <col customWidth="1" min="1" max="1" width="10.42578125"/>
    <col customWidth="1" min="2" max="2" width="23.42578125"/>
    <col customWidth="1" min="3" max="4" width="19"/>
    <col customWidth="1" min="5" max="5" width="21"/>
    <col customWidth="1" min="6" max="6" width="27.140625"/>
    <col customWidth="1" min="7" max="7" width="24.28515625"/>
    <col customWidth="1" min="8" max="8" width="15.140625"/>
    <col customWidth="1" min="9" max="9" width="12.5703125"/>
    <col customWidth="1" min="12" max="12" width="14.5703125"/>
    <col customWidth="1" min="13" max="13" width="15.140625"/>
    <col customWidth="1" min="14" max="14" width="15.7109375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2024</v>
      </c>
      <c r="B2" s="2">
        <v>3028.9200000000001</v>
      </c>
      <c r="C2" s="2">
        <v>1484</v>
      </c>
      <c r="D2" s="1">
        <v>1484</v>
      </c>
      <c r="E2" s="3">
        <f>Table1[[#Totals],[Kosten]]</f>
        <v>519.38999999999999</v>
      </c>
      <c r="F2" s="3">
        <f>(Table3[[#This Row],[Kosten David Gesamt]]/Table3[[#This Row],[Verbrauch Gesamt]]*Table3[[#This Row],[Verbrauch Heizung]])</f>
        <v>254.47181173487579</v>
      </c>
      <c r="G2" s="4">
        <v>50</v>
      </c>
      <c r="H2" s="5">
        <f>Table3[[#This Row],[Kosten gesamt Heizung]]/100*(100 - Table3[[#This Row],[Anteil in Prozent Sarah]])</f>
        <v>127.23590586743789</v>
      </c>
      <c r="I2" s="6">
        <f>Table3[[#This Row],[Kosten gesamt Heizung]]/100*Table3[[#This Row],[Anteil in Prozent Sarah]]</f>
        <v>127.23590586743789</v>
      </c>
    </row>
    <row r="3">
      <c r="A3" s="7" t="s">
        <v>9</v>
      </c>
      <c r="B3" s="2">
        <v>3076</v>
      </c>
      <c r="C3" s="2">
        <v>3189.0100000000002</v>
      </c>
      <c r="D3" s="1">
        <f>Table3[[#This Row],[Zählerstand Heizung]]-C2</f>
        <v>1705.0100000000002</v>
      </c>
      <c r="E3" s="3">
        <f>Table15[[#Totals],[Kosten]]</f>
        <v>699.55999999999995</v>
      </c>
      <c r="F3" s="3">
        <f>(Table3[[#This Row],[Kosten David Gesamt]]/Table3[[#This Row],[Verbrauch Gesamt]]*Table3[[#This Row],[Verbrauch Heizung]])</f>
        <v>387.76228725617688</v>
      </c>
      <c r="G3" s="4">
        <v>55</v>
      </c>
      <c r="H3" s="5">
        <f>Table3[[#This Row],[Kosten gesamt Heizung]]/100*(100-Table3[[#This Row],[Anteil in Prozent Sarah]])</f>
        <v>174.4930292652796</v>
      </c>
      <c r="I3" s="6">
        <f>Table3[[#This Row],[Kosten gesamt Heizung]]/100*Table3[[#This Row],[Anteil in Prozent Sarah]]</f>
        <v>213.26925799089727</v>
      </c>
      <c r="K3" s="8"/>
    </row>
    <row r="4">
      <c r="A4" s="7" t="s">
        <v>10</v>
      </c>
      <c r="B4" s="2">
        <f>Kosten2025q2[[#Totals],[Verbrauch]]</f>
        <v>2308.77</v>
      </c>
      <c r="C4" s="2">
        <v>4549</v>
      </c>
      <c r="D4" s="1">
        <f>Table3[[#This Row],[Zählerstand Heizung]]-C3</f>
        <v>1359.9899999999998</v>
      </c>
      <c r="E4" s="3">
        <f>Kosten2025q2[[#Totals],[Kosten]]</f>
        <v>554.67000000000007</v>
      </c>
      <c r="F4" s="3">
        <f>(Table3[[#This Row],[Kosten David Gesamt]]/Table3[[#This Row],[Verbrauch Gesamt]]*Table3[[#This Row],[Verbrauch Heizung]])</f>
        <v>326.73053327096244</v>
      </c>
      <c r="G4" s="4">
        <v>56</v>
      </c>
      <c r="H4" s="5">
        <f>Table3[[#This Row],[Kosten gesamt Heizung]]/100*(100-Table3[[#This Row],[Anteil in Prozent Sarah]])</f>
        <v>143.76143463922347</v>
      </c>
      <c r="I4" s="6">
        <f>Table3[[#This Row],[Kosten gesamt Heizung]]/100*Table3[[#This Row],[Anteil in Prozent Sarah]]</f>
        <v>182.96909863173894</v>
      </c>
    </row>
    <row r="5">
      <c r="A5" s="7" t="s">
        <v>11</v>
      </c>
      <c r="B5" s="2">
        <v>2843</v>
      </c>
      <c r="C5" s="2">
        <v>6140</v>
      </c>
      <c r="D5" s="1">
        <f>Table3[[#This Row],[Zählerstand Heizung]]-C4</f>
        <v>1591</v>
      </c>
      <c r="E5" s="3">
        <f>Kosten2026q1[[#Totals],[Kosten]]</f>
        <v>629.11000000000001</v>
      </c>
      <c r="F5" s="3">
        <f>(Table3[[#This Row],[Kosten David Gesamt]]/Table3[[#This Row],[Verbrauch Gesamt]]*Table3[[#This Row],[Verbrauch Heizung]])</f>
        <v>352.06261343651073</v>
      </c>
      <c r="G5" s="4">
        <v>58.710000000000001</v>
      </c>
      <c r="H5" s="5">
        <f>Table3[[#This Row],[Kosten gesamt Heizung]]/100*(100-Table3[[#This Row],[Anteil in Prozent Sarah]])</f>
        <v>145.36665308793528</v>
      </c>
      <c r="I5" s="6">
        <f>Table3[[#This Row],[Kosten gesamt Heizung]]/100*Table3[[#This Row],[Anteil in Prozent Sarah]]</f>
        <v>206.69596034857545</v>
      </c>
    </row>
    <row r="6">
      <c r="A6" s="7"/>
      <c r="B6" s="2"/>
      <c r="C6" s="2"/>
      <c r="D6" s="1">
        <f>Table3[[#This Row],[Zählerstand Heizung]]-C5</f>
        <v>-6140</v>
      </c>
      <c r="E6" s="3"/>
      <c r="F6" s="3" t="e">
        <f>(Table3[[#This Row],[Kosten David Gesamt]]/Table3[[#This Row],[Verbrauch Gesamt]]*Table3[[#This Row],[Verbrauch Heizung]])</f>
        <v>#DIV/0!</v>
      </c>
      <c r="G6" s="9"/>
      <c r="H6" s="5" t="e">
        <f>Table3[[#This Row],[Kosten gesamt Heizung]]/100*(100-Table3[[#This Row],[Anteil in Prozent Sarah]])</f>
        <v>#DIV/0!</v>
      </c>
      <c r="I6" s="6" t="e">
        <f>Table3[[#This Row],[Kosten gesamt Heizung]]/100*Table3[[#This Row],[Anteil in Prozent Sarah]]</f>
        <v>#DIV/0!</v>
      </c>
    </row>
    <row r="7">
      <c r="A7" s="7"/>
      <c r="B7" s="2"/>
      <c r="C7" s="2"/>
      <c r="D7" s="1">
        <f>Table3[[#This Row],[Zählerstand Heizung]]-C6</f>
        <v>0</v>
      </c>
      <c r="E7" s="3"/>
      <c r="F7" s="3" t="e">
        <f>(Table3[[#This Row],[Kosten David Gesamt]]/Table3[[#This Row],[Verbrauch Gesamt]]*Table3[[#This Row],[Verbrauch Heizung]])</f>
        <v>#DIV/0!</v>
      </c>
      <c r="G7" s="9"/>
      <c r="H7" s="5" t="e">
        <f>Table3[[#This Row],[Kosten gesamt Heizung]]/100*(100-Table3[[#This Row],[Anteil in Prozent Sarah]])</f>
        <v>#DIV/0!</v>
      </c>
      <c r="I7" s="6" t="e">
        <f>Table3[[#This Row],[Kosten gesamt Heizung]]/100*Table3[[#This Row],[Anteil in Prozent Sarah]]</f>
        <v>#DIV/0!</v>
      </c>
    </row>
    <row r="8">
      <c r="A8" s="7"/>
      <c r="B8" s="2"/>
      <c r="C8" s="2"/>
      <c r="D8" s="1">
        <f>Table3[[#This Row],[Zählerstand Heizung]]-C7</f>
        <v>0</v>
      </c>
      <c r="E8" s="3"/>
      <c r="F8" s="3" t="e">
        <f>(Table3[[#This Row],[Kosten David Gesamt]]/Table3[[#This Row],[Verbrauch Gesamt]]*Table3[[#This Row],[Verbrauch Heizung]])</f>
        <v>#DIV/0!</v>
      </c>
      <c r="G8" s="9"/>
      <c r="H8" s="5" t="e">
        <f>Table3[[#This Row],[Kosten gesamt Heizung]]/100*(100-Table3[[#This Row],[Anteil in Prozent Sarah]])</f>
        <v>#DIV/0!</v>
      </c>
      <c r="I8" s="6" t="e">
        <f>Table3[[#This Row],[Kosten gesamt Heizung]]/100*Table3[[#This Row],[Anteil in Prozent Sarah]]</f>
        <v>#DIV/0!</v>
      </c>
    </row>
    <row r="9">
      <c r="A9" s="7"/>
      <c r="B9" s="2"/>
      <c r="C9" s="2"/>
      <c r="D9" s="1">
        <f>Table3[[#This Row],[Zählerstand Heizung]]-C8</f>
        <v>0</v>
      </c>
      <c r="E9" s="3"/>
      <c r="F9" s="3" t="e">
        <f>(Table3[[#This Row],[Kosten David Gesamt]]/Table3[[#This Row],[Verbrauch Gesamt]]*Table3[[#This Row],[Verbrauch Heizung]])</f>
        <v>#DIV/0!</v>
      </c>
      <c r="G9" s="9"/>
      <c r="H9" s="5" t="e">
        <f>Table3[[#This Row],[Kosten gesamt Heizung]]/100*(100-Table3[[#This Row],[Anteil in Prozent Sarah]])</f>
        <v>#DIV/0!</v>
      </c>
      <c r="I9" s="6" t="e">
        <f>Table3[[#This Row],[Kosten gesamt Heizung]]/100*Table3[[#This Row],[Anteil in Prozent Sarah]]</f>
        <v>#DIV/0!</v>
      </c>
    </row>
    <row r="10">
      <c r="A10" s="7"/>
      <c r="B10" s="2"/>
      <c r="C10" s="2"/>
      <c r="D10" s="1">
        <f>Table3[[#This Row],[Zählerstand Heizung]]-C9</f>
        <v>0</v>
      </c>
      <c r="E10" s="3"/>
      <c r="F10" s="3" t="e">
        <f>(Table3[[#This Row],[Kosten David Gesamt]]/Table3[[#This Row],[Verbrauch Gesamt]]*Table3[[#This Row],[Verbrauch Heizung]])</f>
        <v>#DIV/0!</v>
      </c>
      <c r="G10" s="9"/>
      <c r="H10" s="5" t="e">
        <f>Table3[[#This Row],[Kosten gesamt Heizung]]/100*(100-Table3[[#This Row],[Anteil in Prozent Sarah]])</f>
        <v>#DIV/0!</v>
      </c>
      <c r="I10" s="6" t="e">
        <f>Table3[[#This Row],[Kosten gesamt Heizung]]/100*Table3[[#This Row],[Anteil in Prozent Sarah]]</f>
        <v>#DIV/0!</v>
      </c>
      <c r="O10" s="1"/>
    </row>
    <row r="11">
      <c r="A11" s="7"/>
      <c r="B11" s="2"/>
      <c r="C11" s="2"/>
      <c r="D11" s="1">
        <f>Table3[[#This Row],[Zählerstand Heizung]]-C10</f>
        <v>0</v>
      </c>
      <c r="E11" s="3"/>
      <c r="F11" s="3" t="e">
        <f>(Table3[[#This Row],[Kosten David Gesamt]]/Table3[[#This Row],[Verbrauch Gesamt]]*Table3[[#This Row],[Verbrauch Heizung]])</f>
        <v>#DIV/0!</v>
      </c>
      <c r="G11" s="9"/>
      <c r="H11" s="5" t="e">
        <f>Table3[[#This Row],[Kosten gesamt Heizung]]/100*(100-Table3[[#This Row],[Anteil in Prozent Sarah]])</f>
        <v>#DIV/0!</v>
      </c>
      <c r="I11" s="6" t="e">
        <f>Table3[[#This Row],[Kosten gesamt Heizung]]/100*Table3[[#This Row],[Anteil in Prozent Sarah]]</f>
        <v>#DIV/0!</v>
      </c>
    </row>
    <row r="12">
      <c r="A12" s="7"/>
      <c r="B12" s="2"/>
      <c r="C12" s="2"/>
      <c r="D12" s="1">
        <f>Table3[[#This Row],[Zählerstand Heizung]]-C11</f>
        <v>0</v>
      </c>
      <c r="E12" s="3"/>
      <c r="F12" s="3" t="e">
        <f>(Table3[[#This Row],[Kosten David Gesamt]]/Table3[[#This Row],[Verbrauch Gesamt]]*Table3[[#This Row],[Verbrauch Heizung]])</f>
        <v>#DIV/0!</v>
      </c>
      <c r="G12" s="9"/>
      <c r="H12" s="5" t="e">
        <f>Table3[[#This Row],[Kosten gesamt Heizung]]/100*(100-Table3[[#This Row],[Anteil in Prozent Sarah]])</f>
        <v>#DIV/0!</v>
      </c>
      <c r="I12" s="6" t="e">
        <f>Table3[[#This Row],[Kosten gesamt Heizung]]/100*Table3[[#This Row],[Anteil in Prozent Sarah]]</f>
        <v>#DIV/0!</v>
      </c>
    </row>
    <row r="13">
      <c r="A13" s="7"/>
      <c r="B13" s="2"/>
      <c r="C13" s="2"/>
      <c r="D13" s="1">
        <f>Table3[[#This Row],[Zählerstand Heizung]]-C12</f>
        <v>0</v>
      </c>
      <c r="E13" s="3"/>
      <c r="F13" s="3" t="e">
        <f>(Table3[[#This Row],[Kosten David Gesamt]]/Table3[[#This Row],[Verbrauch Gesamt]]*Table3[[#This Row],[Verbrauch Heizung]])</f>
        <v>#DIV/0!</v>
      </c>
      <c r="G13" s="9"/>
      <c r="H13" s="5" t="e">
        <f>Table3[[#This Row],[Kosten gesamt Heizung]]/100*(100-Table3[[#This Row],[Anteil in Prozent Sarah]])</f>
        <v>#DIV/0!</v>
      </c>
      <c r="I13" s="6" t="e">
        <f>Table3[[#This Row],[Kosten gesamt Heizung]]/100*Table3[[#This Row],[Anteil in Prozent Sarah]]</f>
        <v>#DIV/0!</v>
      </c>
    </row>
    <row r="14">
      <c r="A14" s="7"/>
      <c r="B14" s="2"/>
      <c r="C14" s="2"/>
      <c r="D14" s="1">
        <f>Table3[[#This Row],[Zählerstand Heizung]]-C13</f>
        <v>0</v>
      </c>
      <c r="E14" s="3"/>
      <c r="F14" s="3" t="e">
        <f>(Table3[[#This Row],[Kosten David Gesamt]]/Table3[[#This Row],[Verbrauch Gesamt]]*Table3[[#This Row],[Verbrauch Heizung]])</f>
        <v>#DIV/0!</v>
      </c>
      <c r="G14" s="9"/>
      <c r="H14" s="5" t="e">
        <f>Table3[[#This Row],[Kosten gesamt Heizung]]/100*(100-Table3[[#This Row],[Anteil in Prozent Sarah]])</f>
        <v>#DIV/0!</v>
      </c>
      <c r="I14" s="6" t="e">
        <f>Table3[[#This Row],[Kosten gesamt Heizung]]/100*Table3[[#This Row],[Anteil in Prozent Sarah]]</f>
        <v>#DIV/0!</v>
      </c>
    </row>
    <row r="15">
      <c r="A15" s="7"/>
      <c r="B15" s="2"/>
      <c r="C15" s="2"/>
      <c r="D15" s="1">
        <f>Table3[[#This Row],[Zählerstand Heizung]]-C14</f>
        <v>0</v>
      </c>
      <c r="E15" s="3"/>
      <c r="F15" s="3" t="e">
        <f>(Table3[[#This Row],[Kosten David Gesamt]]/Table3[[#This Row],[Verbrauch Gesamt]]*Table3[[#This Row],[Verbrauch Heizung]])</f>
        <v>#DIV/0!</v>
      </c>
      <c r="G15" s="9"/>
      <c r="H15" s="5" t="e">
        <f>Table3[[#This Row],[Kosten gesamt Heizung]]/100*(100-Table3[[#This Row],[Anteil in Prozent Sarah]])</f>
        <v>#DIV/0!</v>
      </c>
      <c r="I15" s="6" t="e">
        <f>Table3[[#This Row],[Kosten gesamt Heizung]]/100*Table3[[#This Row],[Anteil in Prozent Sarah]]</f>
        <v>#DIV/0!</v>
      </c>
      <c r="M15" t="s">
        <v>12</v>
      </c>
      <c r="N15" s="10" t="s">
        <v>13</v>
      </c>
    </row>
    <row r="16">
      <c r="A16" s="7"/>
      <c r="B16" s="2"/>
      <c r="C16" s="2"/>
      <c r="D16" s="1">
        <f>Table3[[#This Row],[Zählerstand Heizung]]-C15</f>
        <v>0</v>
      </c>
      <c r="E16" s="3"/>
      <c r="F16" s="3" t="e">
        <f>(Table3[[#This Row],[Kosten David Gesamt]]/Table3[[#This Row],[Verbrauch Gesamt]]*Table3[[#This Row],[Verbrauch Heizung]])</f>
        <v>#DIV/0!</v>
      </c>
      <c r="G16" s="9"/>
      <c r="H16" s="5" t="e">
        <f>Table3[[#This Row],[Kosten gesamt Heizung]]/100*(100-Table3[[#This Row],[Anteil in Prozent Sarah]])</f>
        <v>#DIV/0!</v>
      </c>
      <c r="I16" s="6" t="e">
        <f>Table3[[#This Row],[Kosten gesamt Heizung]]/100*Table3[[#This Row],[Anteil in Prozent Sarah]]</f>
        <v>#DIV/0!</v>
      </c>
      <c r="M16" t="s">
        <v>14</v>
      </c>
      <c r="N16" s="10" t="s">
        <v>15</v>
      </c>
    </row>
    <row r="17">
      <c r="A17" s="7"/>
      <c r="B17" s="2"/>
      <c r="C17" s="2"/>
      <c r="D17" s="1">
        <f>Table3[[#This Row],[Zählerstand Heizung]]-C16</f>
        <v>0</v>
      </c>
      <c r="E17" s="3"/>
      <c r="F17" s="3" t="e">
        <f>(Table3[[#This Row],[Kosten David Gesamt]]/Table3[[#This Row],[Verbrauch Gesamt]]*Table3[[#This Row],[Verbrauch Heizung]])</f>
        <v>#DIV/0!</v>
      </c>
      <c r="G17" s="9"/>
      <c r="H17" s="5" t="e">
        <f>Table3[[#This Row],[Kosten gesamt Heizung]]/100*(100-Table3[[#This Row],[Anteil in Prozent Sarah]])</f>
        <v>#DIV/0!</v>
      </c>
      <c r="I17" s="6" t="e">
        <f>Table3[[#This Row],[Kosten gesamt Heizung]]/100*Table3[[#This Row],[Anteil in Prozent Sarah]]</f>
        <v>#DIV/0!</v>
      </c>
    </row>
    <row r="18">
      <c r="A18" s="7"/>
      <c r="B18" s="2"/>
      <c r="C18" s="2"/>
      <c r="D18" s="1">
        <f>Table3[[#This Row],[Zählerstand Heizung]]-C17</f>
        <v>0</v>
      </c>
      <c r="E18" s="3"/>
      <c r="F18" s="3" t="e">
        <f>(Table3[[#This Row],[Kosten David Gesamt]]/Table3[[#This Row],[Verbrauch Gesamt]]*Table3[[#This Row],[Verbrauch Heizung]])</f>
        <v>#DIV/0!</v>
      </c>
      <c r="G18" s="9"/>
      <c r="H18" s="5" t="e">
        <f>Table3[[#This Row],[Kosten gesamt Heizung]]/100*(100-Table3[[#This Row],[Anteil in Prozent Sarah]])</f>
        <v>#DIV/0!</v>
      </c>
      <c r="I18" s="6" t="e">
        <f>Table3[[#This Row],[Kosten gesamt Heizung]]/100*Table3[[#This Row],[Anteil in Prozent Sarah]]</f>
        <v>#DIV/0!</v>
      </c>
    </row>
    <row r="19">
      <c r="A19" s="7"/>
      <c r="B19" s="2"/>
      <c r="C19" s="2"/>
      <c r="D19" s="1">
        <f>Table3[[#This Row],[Zählerstand Heizung]]-C18</f>
        <v>0</v>
      </c>
      <c r="E19" s="3"/>
      <c r="F19" s="3" t="e">
        <f>(Table3[[#This Row],[Kosten David Gesamt]]/Table3[[#This Row],[Verbrauch Gesamt]]*Table3[[#This Row],[Verbrauch Heizung]])</f>
        <v>#DIV/0!</v>
      </c>
      <c r="G19" s="9"/>
      <c r="H19" s="5" t="e">
        <f>Table3[[#This Row],[Kosten gesamt Heizung]]/100*(100-Table3[[#This Row],[Anteil in Prozent Sarah]])</f>
        <v>#DIV/0!</v>
      </c>
      <c r="I19" s="6" t="e">
        <f>Table3[[#This Row],[Kosten gesamt Heizung]]/100*Table3[[#This Row],[Anteil in Prozent Sarah]]</f>
        <v>#DIV/0!</v>
      </c>
    </row>
    <row r="20">
      <c r="A20" s="7"/>
      <c r="B20" s="2"/>
      <c r="C20" s="2"/>
      <c r="D20" s="1">
        <f>Table3[[#This Row],[Zählerstand Heizung]]-C19</f>
        <v>0</v>
      </c>
      <c r="E20" s="3"/>
      <c r="F20" s="3" t="e">
        <f>(Table3[[#This Row],[Kosten David Gesamt]]/Table3[[#This Row],[Verbrauch Gesamt]]*Table3[[#This Row],[Verbrauch Heizung]])</f>
        <v>#DIV/0!</v>
      </c>
      <c r="G20" s="9"/>
      <c r="H20" s="5" t="e">
        <f>Table3[[#This Row],[Kosten gesamt Heizung]]/100*(100-Table3[[#This Row],[Anteil in Prozent Sarah]])</f>
        <v>#DIV/0!</v>
      </c>
      <c r="I20" s="6" t="e">
        <f>Table3[[#This Row],[Kosten gesamt Heizung]]/100*Table3[[#This Row],[Anteil in Prozent Sarah]]</f>
        <v>#DIV/0!</v>
      </c>
    </row>
    <row r="21">
      <c r="A21" s="7"/>
      <c r="B21" s="2"/>
      <c r="C21" s="2"/>
      <c r="D21" s="1">
        <f>Table3[[#This Row],[Zählerstand Heizung]]-C20</f>
        <v>0</v>
      </c>
      <c r="E21" s="3"/>
      <c r="F21" s="3" t="e">
        <f>(Table3[[#This Row],[Kosten David Gesamt]]/Table3[[#This Row],[Verbrauch Gesamt]]*Table3[[#This Row],[Verbrauch Heizung]])</f>
        <v>#DIV/0!</v>
      </c>
      <c r="G21" s="9"/>
      <c r="H21" s="5" t="e">
        <f>Table3[[#This Row],[Kosten gesamt Heizung]]/100*(100-Table3[[#This Row],[Anteil in Prozent Sarah]])</f>
        <v>#DIV/0!</v>
      </c>
      <c r="I21" s="6" t="e">
        <f>Table3[[#This Row],[Kosten gesamt Heizung]]/100*Table3[[#This Row],[Anteil in Prozent Sarah]]</f>
        <v>#DIV/0!</v>
      </c>
    </row>
    <row r="22">
      <c r="A22" s="7"/>
      <c r="B22" s="2"/>
      <c r="C22" s="2"/>
      <c r="D22" s="1">
        <f>Table3[[#This Row],[Zählerstand Heizung]]-C21</f>
        <v>0</v>
      </c>
      <c r="E22" s="3"/>
      <c r="F22" s="3" t="e">
        <f>(Table3[[#This Row],[Kosten David Gesamt]]/Table3[[#This Row],[Verbrauch Gesamt]]*Table3[[#This Row],[Verbrauch Heizung]])</f>
        <v>#DIV/0!</v>
      </c>
      <c r="G22" s="9"/>
      <c r="H22" s="5" t="e">
        <f>Table3[[#This Row],[Kosten gesamt Heizung]]/100*(100-Table3[[#This Row],[Anteil in Prozent Sarah]])</f>
        <v>#DIV/0!</v>
      </c>
      <c r="I22" s="6" t="e">
        <f>Table3[[#This Row],[Kosten gesamt Heizung]]/100*Table3[[#This Row],[Anteil in Prozent Sarah]]</f>
        <v>#DIV/0!</v>
      </c>
    </row>
    <row r="23">
      <c r="A23" s="7"/>
      <c r="B23" s="2"/>
      <c r="C23" s="2"/>
      <c r="D23" s="1">
        <f>Table3[[#This Row],[Zählerstand Heizung]]-C22</f>
        <v>0</v>
      </c>
      <c r="E23" s="3"/>
      <c r="F23" s="3" t="e">
        <f>(Table3[[#This Row],[Kosten David Gesamt]]/Table3[[#This Row],[Verbrauch Gesamt]]*Table3[[#This Row],[Verbrauch Heizung]])</f>
        <v>#DIV/0!</v>
      </c>
      <c r="G23" s="9"/>
      <c r="H23" s="5" t="e">
        <f>Table3[[#This Row],[Kosten gesamt Heizung]]/100*(100-Table3[[#This Row],[Anteil in Prozent Sarah]])</f>
        <v>#DIV/0!</v>
      </c>
      <c r="I23" s="6" t="e">
        <f>Table3[[#This Row],[Kosten gesamt Heizung]]/100*Table3[[#This Row],[Anteil in Prozent Sarah]]</f>
        <v>#DIV/0!</v>
      </c>
    </row>
    <row r="24">
      <c r="A24" s="7"/>
      <c r="B24" s="2"/>
      <c r="C24" s="2"/>
      <c r="D24" s="1">
        <f>Table3[[#This Row],[Zählerstand Heizung]]-C23</f>
        <v>0</v>
      </c>
      <c r="E24" s="3"/>
      <c r="F24" s="3" t="e">
        <f>(Table3[[#This Row],[Kosten David Gesamt]]/Table3[[#This Row],[Verbrauch Gesamt]]*Table3[[#This Row],[Verbrauch Heizung]])</f>
        <v>#DIV/0!</v>
      </c>
      <c r="G24" s="9"/>
      <c r="H24" s="5" t="e">
        <f>Table3[[#This Row],[Kosten gesamt Heizung]]/100*(100-Table3[[#This Row],[Anteil in Prozent Sarah]])</f>
        <v>#DIV/0!</v>
      </c>
      <c r="I24" s="6" t="e">
        <f>Table3[[#This Row],[Kosten gesamt Heizung]]/100*Table3[[#This Row],[Anteil in Prozent Sarah]]</f>
        <v>#DIV/0!</v>
      </c>
    </row>
    <row r="25">
      <c r="A25" s="7"/>
      <c r="B25" s="2"/>
      <c r="C25" s="2"/>
      <c r="D25" s="1">
        <f>Table3[[#This Row],[Zählerstand Heizung]]-C24</f>
        <v>0</v>
      </c>
      <c r="E25" s="3"/>
      <c r="F25" s="3" t="e">
        <f>(Table3[[#This Row],[Kosten David Gesamt]]/Table3[[#This Row],[Verbrauch Gesamt]]*Table3[[#This Row],[Verbrauch Heizung]])</f>
        <v>#DIV/0!</v>
      </c>
      <c r="G25" s="9"/>
      <c r="H25" s="5" t="e">
        <f>Table3[[#This Row],[Kosten gesamt Heizung]]/100*(100-Table3[[#This Row],[Anteil in Prozent Sarah]])</f>
        <v>#DIV/0!</v>
      </c>
      <c r="I25" s="6" t="e">
        <f>Table3[[#This Row],[Kosten gesamt Heizung]]/100*Table3[[#This Row],[Anteil in Prozent Sarah]]</f>
        <v>#DIV/0!</v>
      </c>
    </row>
    <row r="26">
      <c r="A26" s="7"/>
      <c r="B26" s="2"/>
      <c r="C26" s="2"/>
      <c r="D26" s="1">
        <f>Table3[[#This Row],[Zählerstand Heizung]]-C25</f>
        <v>0</v>
      </c>
      <c r="E26" s="3"/>
      <c r="F26" s="3" t="e">
        <f>(Table3[[#This Row],[Kosten David Gesamt]]/Table3[[#This Row],[Verbrauch Gesamt]]*Table3[[#This Row],[Verbrauch Heizung]])</f>
        <v>#DIV/0!</v>
      </c>
      <c r="G26" s="9"/>
      <c r="H26" s="5" t="e">
        <f>Table3[[#This Row],[Kosten gesamt Heizung]]/100*(100-Table3[[#This Row],[Anteil in Prozent Sarah]])</f>
        <v>#DIV/0!</v>
      </c>
      <c r="I26" s="6" t="e">
        <f>Table3[[#This Row],[Kosten gesamt Heizung]]/100*Table3[[#This Row],[Anteil in Prozent Sarah]]</f>
        <v>#DIV/0!</v>
      </c>
    </row>
    <row r="27">
      <c r="A27" s="7"/>
      <c r="B27" s="2"/>
      <c r="C27" s="2"/>
      <c r="D27" s="1">
        <f>Table3[[#This Row],[Zählerstand Heizung]]-C26</f>
        <v>0</v>
      </c>
      <c r="E27" s="3"/>
      <c r="F27" s="3" t="e">
        <f>(Table3[[#This Row],[Kosten David Gesamt]]/Table3[[#This Row],[Verbrauch Gesamt]]*Table3[[#This Row],[Verbrauch Heizung]])</f>
        <v>#DIV/0!</v>
      </c>
      <c r="G27" s="9"/>
      <c r="H27" s="5" t="e">
        <f>Table3[[#This Row],[Kosten gesamt Heizung]]/100*(100-Table3[[#This Row],[Anteil in Prozent Sarah]])</f>
        <v>#DIV/0!</v>
      </c>
      <c r="I27" s="6" t="e">
        <f>Table3[[#This Row],[Kosten gesamt Heizung]]/100*Table3[[#This Row],[Anteil in Prozent Sarah]]</f>
        <v>#DIV/0!</v>
      </c>
    </row>
  </sheetData>
  <hyperlinks>
    <hyperlink r:id="rId1" ref="N15"/>
    <hyperlink r:id="rId2" ref="N16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F0"/>
    <outlinePr applyStyles="0" summaryBelow="1" summaryRight="1" showOutlineSymbols="1"/>
    <pageSetUpPr autoPageBreaks="1" fitToPage="0"/>
  </sheetPr>
  <sheetViews>
    <sheetView topLeftCell="K1" zoomScale="100" workbookViewId="0">
      <selection activeCell="C4" activeCellId="0" sqref="C4"/>
    </sheetView>
  </sheetViews>
  <sheetFormatPr defaultColWidth="9.140625" defaultRowHeight="14.25"/>
  <cols>
    <col customWidth="1" min="1" max="1" width="11"/>
    <col customWidth="1" min="2" max="3" width="22.140625"/>
    <col customWidth="1" min="4" max="4" width="23.85546875"/>
    <col customWidth="1" min="5" max="5" width="28.5703125"/>
    <col customWidth="1" min="6" max="8" width="24.7109375"/>
    <col customWidth="1" min="9" max="9" width="22.140625"/>
    <col customWidth="1" min="10" max="10" width="20"/>
    <col customWidth="1" min="11" max="12" width="23"/>
    <col customWidth="1" min="13" max="13" width="25.140625"/>
    <col customWidth="1" min="14" max="14" width="23"/>
    <col customWidth="1" min="15" max="15" width="25.85546875"/>
  </cols>
  <sheetData>
    <row r="1">
      <c r="A1" s="11" t="s">
        <v>16</v>
      </c>
      <c r="B1" s="11" t="s">
        <v>17</v>
      </c>
      <c r="C1" s="1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s="12" t="s">
        <v>24</v>
      </c>
      <c r="J1" s="12" t="s">
        <v>25</v>
      </c>
      <c r="K1" s="12" t="s">
        <v>26</v>
      </c>
      <c r="L1" s="12" t="s">
        <v>27</v>
      </c>
      <c r="M1" s="12" t="s">
        <v>28</v>
      </c>
      <c r="N1" s="11" t="s">
        <v>29</v>
      </c>
      <c r="O1" s="11" t="s">
        <v>30</v>
      </c>
    </row>
    <row r="2">
      <c r="A2" s="13" t="s">
        <v>31</v>
      </c>
      <c r="B2" s="14"/>
      <c r="C2" s="13" t="e">
        <f>WasserTable[[#This Row],[Zählerstand gesamt]]-B1</f>
        <v>#VALUE!</v>
      </c>
      <c r="D2" s="15">
        <v>0</v>
      </c>
      <c r="E2" s="16">
        <v>0</v>
      </c>
      <c r="F2" s="17"/>
      <c r="G2" s="17"/>
      <c r="H2" s="17"/>
      <c r="I2" s="18">
        <v>100000</v>
      </c>
      <c r="J2" s="19">
        <v>100000</v>
      </c>
      <c r="K2" s="17"/>
      <c r="L2" s="17"/>
      <c r="M2" s="17"/>
      <c r="N2" s="20"/>
      <c r="O2" s="17"/>
    </row>
    <row r="3" ht="21">
      <c r="A3" s="21" t="s">
        <v>9</v>
      </c>
      <c r="B3" s="22">
        <v>119</v>
      </c>
      <c r="C3" s="23">
        <f>WasserTable[[#This Row],[Zählerstand gesamt]]-B2</f>
        <v>119</v>
      </c>
      <c r="D3" s="15">
        <v>16.199999999999999</v>
      </c>
      <c r="E3" s="16">
        <v>5.5</v>
      </c>
      <c r="F3" s="24">
        <f>IF(WasserTable[[#This Row],[Zählerstand Kalt David]]&lt;&gt;"",WasserTable[[#This Row],[Zählerstand Kalt David]]-D2,"")</f>
        <v>16.199999999999999</v>
      </c>
      <c r="G3" s="25">
        <f>IF(WasserTable[[#This Row],[Zählerstand Warm David]]&lt;&gt;0,WasserTable[[#This Row],[Zählerstand Warm David]]-E2,"")</f>
        <v>5.5</v>
      </c>
      <c r="H3" s="26">
        <f>WasserTable[[#This Row],[Verbrauch Kalt David]]+WasserTable[[#This Row],[Verbrauch Warm David]]</f>
        <v>21.699999999999999</v>
      </c>
      <c r="I3" s="27">
        <v>99987</v>
      </c>
      <c r="J3" s="28">
        <v>99993.199999999997</v>
      </c>
      <c r="K3" s="29">
        <f>IF(WasserTable[[#This Row],[Zählerstand Kalt Sarah]]&lt;&gt;"",I2-WasserTable[[#This Row],[Zählerstand Kalt Sarah]],"")</f>
        <v>13</v>
      </c>
      <c r="L3" s="30">
        <f>IF(WasserTable[[#This Row],[Zählerstand Warm Sarah]]&lt;&gt;"",J2-WasserTable[[#This Row],[Zählerstand Warm Sarah]],"")</f>
        <v>6.8000000000029104</v>
      </c>
      <c r="M3" s="31">
        <f>WasserTable[[#This Row],[Verbrauch Warm Sarah]]+WasserTable[[#This Row],[Verbrauch Kalt Sarah]]</f>
        <v>19.80000000000291</v>
      </c>
      <c r="N3" s="32">
        <f>100/(WasserTable[[#This Row],[Verbrauch Warm David]]+WasserTable[[#This Row],[Verbrauch Warm Sarah]])*WasserTable[[#This Row],[Verbrauch Warm Sarah]]</f>
        <v>55.284552845539039</v>
      </c>
      <c r="O3" s="33">
        <f>100/(WasserTable[[#This Row],[Verbrauch gesamt David]]+WasserTable[[#This Row],[Verbrauch gesamt Sarah]])*WasserTable[[#This Row],[Verbrauch gesamt Sarah]]</f>
        <v>47.710843373497646</v>
      </c>
    </row>
    <row r="4" ht="21">
      <c r="A4" s="34" t="s">
        <v>10</v>
      </c>
      <c r="B4" s="35">
        <v>171</v>
      </c>
      <c r="C4" s="36">
        <f>WasserTable[[#This Row],[Zählerstand gesamt]]-B3</f>
        <v>52</v>
      </c>
      <c r="D4" s="15">
        <v>34.200000000000003</v>
      </c>
      <c r="E4" s="16">
        <v>11.9</v>
      </c>
      <c r="F4" s="24">
        <f>IF(WasserTable[[#This Row],[Zählerstand Kalt David]]&lt;&gt;"",WasserTable[[#This Row],[Zählerstand Kalt David]]-D3,"")</f>
        <v>18.000000000000004</v>
      </c>
      <c r="G4" s="25">
        <f>IF(WasserTable[[#This Row],[Zählerstand Warm David]]&lt;&gt;0,WasserTable[[#This Row],[Zählerstand Warm David]]-E3,"")</f>
        <v>6.4000000000000004</v>
      </c>
      <c r="H4" s="26">
        <f>WasserTable[[#This Row],[Verbrauch Kalt David]]+WasserTable[[#This Row],[Verbrauch Warm David]]</f>
        <v>24.400000000000006</v>
      </c>
      <c r="I4" s="18">
        <v>99971.899999999994</v>
      </c>
      <c r="J4" s="19">
        <v>99985.100000000006</v>
      </c>
      <c r="K4" s="37">
        <f>IF(WasserTable[[#This Row],[Zählerstand Kalt Sarah]]&lt;&gt;"",I3-WasserTable[[#This Row],[Zählerstand Kalt Sarah]],"")</f>
        <v>15.100000000005821</v>
      </c>
      <c r="L4" s="38">
        <f>IF(WasserTable[[#This Row],[Zählerstand Warm Sarah]]&lt;&gt;"",J3-WasserTable[[#This Row],[Zählerstand Warm Sarah]],"")</f>
        <v>8.0999999999912689</v>
      </c>
      <c r="M4" s="39">
        <f>WasserTable[[#This Row],[Verbrauch Warm Sarah]]+WasserTable[[#This Row],[Verbrauch Kalt Sarah]]</f>
        <v>23.19999999999709</v>
      </c>
      <c r="N4" s="40">
        <f>100/(WasserTable[[#This Row],[Verbrauch Warm David]]+WasserTable[[#This Row],[Verbrauch Warm Sarah]])*WasserTable[[#This Row],[Verbrauch Warm Sarah]]</f>
        <v>55.862068965490664</v>
      </c>
      <c r="O4" s="33">
        <f>100/(WasserTable[[#This Row],[Verbrauch gesamt David]]+WasserTable[[#This Row],[Verbrauch gesamt Sarah]])*WasserTable[[#This Row],[Verbrauch gesamt Sarah]]</f>
        <v>48.739495798316185</v>
      </c>
    </row>
    <row r="5">
      <c r="A5" s="21" t="s">
        <v>11</v>
      </c>
      <c r="B5" s="22">
        <v>240</v>
      </c>
      <c r="C5" s="23">
        <f>WasserTable[[#This Row],[Zählerstand gesamt]]-B4</f>
        <v>69</v>
      </c>
      <c r="D5" s="15">
        <v>59.399999999999999</v>
      </c>
      <c r="E5" s="16">
        <v>19.460000000000001</v>
      </c>
      <c r="F5" s="24">
        <f>IF(WasserTable[[#This Row],[Zählerstand Kalt David]]&lt;&gt;"",WasserTable[[#This Row],[Zählerstand Kalt David]]-D4,"")</f>
        <v>25.199999999999996</v>
      </c>
      <c r="G5" s="25">
        <f>IF(WasserTable[[#This Row],[Zählerstand Warm David]]&lt;&gt;0,WasserTable[[#This Row],[Zählerstand Warm David]]-E4,"")</f>
        <v>7.5600000000000005</v>
      </c>
      <c r="H5" s="26">
        <f>WasserTable[[#This Row],[Verbrauch Kalt David]]+WasserTable[[#This Row],[Verbrauch Warm David]]</f>
        <v>32.759999999999998</v>
      </c>
      <c r="I5" s="27">
        <v>99951.5</v>
      </c>
      <c r="J5" s="28">
        <v>99974.350000000006</v>
      </c>
      <c r="K5" s="29">
        <f>IF(WasserTable[[#This Row],[Zählerstand Kalt Sarah]]&lt;&gt;"",I4-WasserTable[[#This Row],[Zählerstand Kalt Sarah]],"")</f>
        <v>20.399999999994179</v>
      </c>
      <c r="L5" s="30">
        <f>IF(WasserTable[[#This Row],[Zählerstand Warm Sarah]]&lt;&gt;"",J4-WasserTable[[#This Row],[Zählerstand Warm Sarah]],"")</f>
        <v>10.75</v>
      </c>
      <c r="M5" s="31">
        <f>WasserTable[[#This Row],[Verbrauch Warm Sarah]]+WasserTable[[#This Row],[Verbrauch Kalt Sarah]]</f>
        <v>31.149999999994179</v>
      </c>
      <c r="N5" s="32">
        <f>100/(WasserTable[[#This Row],[Verbrauch Warm David]]+WasserTable[[#This Row],[Verbrauch Warm Sarah]])*WasserTable[[#This Row],[Verbrauch Warm Sarah]]</f>
        <v>58.711086837793545</v>
      </c>
      <c r="O5" s="33">
        <f>100/(WasserTable[[#This Row],[Verbrauch gesamt David]]+WasserTable[[#This Row],[Verbrauch gesamt Sarah]])*WasserTable[[#This Row],[Verbrauch gesamt Sarah]]</f>
        <v>48.740416210291059</v>
      </c>
    </row>
    <row r="6">
      <c r="A6" s="41"/>
      <c r="B6" s="35"/>
      <c r="C6" s="36">
        <f>WasserTable[[#This Row],[Zählerstand gesamt]]-B5</f>
        <v>-240</v>
      </c>
      <c r="D6" s="15"/>
      <c r="E6" s="16"/>
      <c r="F6" s="24" t="str">
        <f>IF(WasserTable[[#This Row],[Zählerstand Kalt David]]&lt;&gt;"",WasserTable[[#This Row],[Zählerstand Kalt David]]-D5,"")</f>
        <v/>
      </c>
      <c r="G6" s="42" t="str">
        <f>IF(WasserTable[[#This Row],[Zählerstand Warm David]]&lt;&gt;0,WasserTable[[#This Row],[Zählerstand Warm David]]-E5,"")</f>
        <v/>
      </c>
      <c r="H6" s="26" t="e">
        <f>WasserTable[[#This Row],[Verbrauch Kalt David]]+WasserTable[[#This Row],[Verbrauch Warm David]]</f>
        <v>#VALUE!</v>
      </c>
      <c r="I6" s="18"/>
      <c r="J6" s="19"/>
      <c r="K6" s="37" t="str">
        <f>IF(WasserTable[[#This Row],[Zählerstand Kalt Sarah]]&lt;&gt;"",I5-WasserTable[[#This Row],[Zählerstand Kalt Sarah]],"")</f>
        <v/>
      </c>
      <c r="L6" s="38" t="str">
        <f>IF(WasserTable[[#This Row],[Zählerstand Warm Sarah]]&lt;&gt;"",J5-WasserTable[[#This Row],[Zählerstand Warm Sarah]],"")</f>
        <v/>
      </c>
      <c r="M6" s="39" t="e">
        <f>WasserTable[[#This Row],[Verbrauch Warm Sarah]]+WasserTable[[#This Row],[Verbrauch Kalt Sarah]]</f>
        <v>#VALUE!</v>
      </c>
      <c r="N6" s="40" t="e">
        <f>100/(WasserTable[[#This Row],[Verbrauch Warm David]]+WasserTable[[#This Row],[Verbrauch Warm Sarah]])*WasserTable[[#This Row],[Verbrauch Warm Sarah]]</f>
        <v>#VALUE!</v>
      </c>
      <c r="O6" s="33" t="e">
        <f>100/(WasserTable[[#This Row],[Verbrauch gesamt David]]+WasserTable[[#This Row],[Verbrauch gesamt Sarah]])*WasserTable[[#This Row],[Verbrauch gesamt Sarah]]</f>
        <v>#VALUE!</v>
      </c>
    </row>
    <row r="7">
      <c r="A7" s="33"/>
      <c r="B7" s="22"/>
      <c r="C7" s="23">
        <f>WasserTable[[#This Row],[Zählerstand gesamt]]-B6</f>
        <v>0</v>
      </c>
      <c r="D7" s="15"/>
      <c r="E7" s="16"/>
      <c r="F7" s="24" t="str">
        <f>IF(WasserTable[[#This Row],[Zählerstand Kalt David]]&lt;&gt;"",WasserTable[[#This Row],[Zählerstand Kalt David]]-D6,"")</f>
        <v/>
      </c>
      <c r="G7" s="42" t="str">
        <f>IF(WasserTable[[#This Row],[Zählerstand Warm David]]&lt;&gt;0,WasserTable[[#This Row],[Zählerstand Warm David]]-E6,"")</f>
        <v/>
      </c>
      <c r="H7" s="26" t="e">
        <f>WasserTable[[#This Row],[Verbrauch Kalt David]]+WasserTable[[#This Row],[Verbrauch Warm David]]</f>
        <v>#VALUE!</v>
      </c>
      <c r="I7" s="27"/>
      <c r="J7" s="28"/>
      <c r="K7" s="29" t="str">
        <f>IF(WasserTable[[#This Row],[Zählerstand Kalt Sarah]]&lt;&gt;"",I6-WasserTable[[#This Row],[Zählerstand Kalt Sarah]],"")</f>
        <v/>
      </c>
      <c r="L7" s="30" t="str">
        <f>IF(WasserTable[[#This Row],[Zählerstand Warm Sarah]]&lt;&gt;"",J6-WasserTable[[#This Row],[Zählerstand Warm Sarah]],"")</f>
        <v/>
      </c>
      <c r="M7" s="31" t="e">
        <f>WasserTable[[#This Row],[Verbrauch Warm Sarah]]+WasserTable[[#This Row],[Verbrauch Kalt Sarah]]</f>
        <v>#VALUE!</v>
      </c>
      <c r="N7" s="32" t="e">
        <f>100/(WasserTable[[#This Row],[Verbrauch Warm David]]+WasserTable[[#This Row],[Verbrauch Warm Sarah]])*WasserTable[[#This Row],[Verbrauch Warm Sarah]]</f>
        <v>#VALUE!</v>
      </c>
      <c r="O7" s="33" t="e">
        <f>100/(WasserTable[[#This Row],[Verbrauch gesamt David]]+WasserTable[[#This Row],[Verbrauch gesamt Sarah]])*WasserTable[[#This Row],[Verbrauch gesamt Sarah]]</f>
        <v>#VALUE!</v>
      </c>
    </row>
    <row r="8">
      <c r="A8" s="13"/>
      <c r="B8" s="35"/>
      <c r="C8" s="36">
        <f>WasserTable[[#This Row],[Zählerstand gesamt]]-B7</f>
        <v>0</v>
      </c>
      <c r="D8" s="15"/>
      <c r="E8" s="16"/>
      <c r="F8" s="24" t="str">
        <f>IF(WasserTable[[#This Row],[Zählerstand Kalt David]]&lt;&gt;"",WasserTable[[#This Row],[Zählerstand Kalt David]]-D7,"")</f>
        <v/>
      </c>
      <c r="G8" s="42" t="str">
        <f>IF(WasserTable[[#This Row],[Zählerstand Warm David]]&lt;&gt;0,WasserTable[[#This Row],[Zählerstand Warm David]]-E7,"")</f>
        <v/>
      </c>
      <c r="H8" s="26" t="e">
        <f>WasserTable[[#This Row],[Verbrauch Kalt David]]+WasserTable[[#This Row],[Verbrauch Warm David]]</f>
        <v>#VALUE!</v>
      </c>
      <c r="I8" s="18"/>
      <c r="J8" s="19"/>
      <c r="K8" s="37" t="str">
        <f>IF(WasserTable[[#This Row],[Zählerstand Kalt Sarah]]&lt;&gt;"",I7-WasserTable[[#This Row],[Zählerstand Kalt Sarah]],"")</f>
        <v/>
      </c>
      <c r="L8" s="38" t="str">
        <f>IF(WasserTable[[#This Row],[Zählerstand Warm Sarah]]&lt;&gt;"",J7-WasserTable[[#This Row],[Zählerstand Warm Sarah]],"")</f>
        <v/>
      </c>
      <c r="M8" s="39" t="e">
        <f>WasserTable[[#This Row],[Verbrauch Warm Sarah]]+WasserTable[[#This Row],[Verbrauch Kalt Sarah]]</f>
        <v>#VALUE!</v>
      </c>
      <c r="N8" s="40" t="e">
        <f>100/(WasserTable[[#This Row],[Verbrauch Warm David]]+WasserTable[[#This Row],[Verbrauch Warm Sarah]])*WasserTable[[#This Row],[Verbrauch Warm Sarah]]</f>
        <v>#VALUE!</v>
      </c>
      <c r="O8" s="33" t="e">
        <f>100/(WasserTable[[#This Row],[Verbrauch gesamt David]]+WasserTable[[#This Row],[Verbrauch gesamt Sarah]])*WasserTable[[#This Row],[Verbrauch gesamt Sarah]]</f>
        <v>#VALUE!</v>
      </c>
    </row>
    <row r="9">
      <c r="A9" s="33"/>
      <c r="B9" s="22"/>
      <c r="C9" s="23">
        <f>WasserTable[[#This Row],[Zählerstand gesamt]]-B8</f>
        <v>0</v>
      </c>
      <c r="D9" s="15"/>
      <c r="E9" s="16"/>
      <c r="F9" s="24" t="str">
        <f>IF(WasserTable[[#This Row],[Zählerstand Kalt David]]&lt;&gt;"",WasserTable[[#This Row],[Zählerstand Kalt David]]-D8,"")</f>
        <v/>
      </c>
      <c r="G9" s="42" t="str">
        <f>IF(WasserTable[[#This Row],[Zählerstand Warm David]]&lt;&gt;0,WasserTable[[#This Row],[Zählerstand Warm David]]-E8,"")</f>
        <v/>
      </c>
      <c r="H9" s="26" t="e">
        <f>WasserTable[[#This Row],[Verbrauch Kalt David]]+WasserTable[[#This Row],[Verbrauch Warm David]]</f>
        <v>#VALUE!</v>
      </c>
      <c r="I9" s="27"/>
      <c r="J9" s="28"/>
      <c r="K9" s="29" t="str">
        <f>IF(WasserTable[[#This Row],[Zählerstand Kalt Sarah]]&lt;&gt;"",I8-WasserTable[[#This Row],[Zählerstand Kalt Sarah]],"")</f>
        <v/>
      </c>
      <c r="L9" s="30" t="str">
        <f>IF(WasserTable[[#This Row],[Zählerstand Warm Sarah]]&lt;&gt;"",J8-WasserTable[[#This Row],[Zählerstand Warm Sarah]],"")</f>
        <v/>
      </c>
      <c r="M9" s="31" t="e">
        <f>WasserTable[[#This Row],[Verbrauch Warm Sarah]]+WasserTable[[#This Row],[Verbrauch Kalt Sarah]]</f>
        <v>#VALUE!</v>
      </c>
      <c r="N9" s="32" t="e">
        <f>100/(WasserTable[[#This Row],[Verbrauch Warm David]]+WasserTable[[#This Row],[Verbrauch Warm Sarah]])*WasserTable[[#This Row],[Verbrauch Warm Sarah]]</f>
        <v>#VALUE!</v>
      </c>
      <c r="O9" s="33" t="e">
        <f>100/(WasserTable[[#This Row],[Verbrauch gesamt David]]+WasserTable[[#This Row],[Verbrauch gesamt Sarah]])*WasserTable[[#This Row],[Verbrauch gesamt Sarah]]</f>
        <v>#VALUE!</v>
      </c>
    </row>
    <row r="10">
      <c r="A10" s="13"/>
      <c r="B10" s="35"/>
      <c r="C10" s="36">
        <f>WasserTable[[#This Row],[Zählerstand gesamt]]-B9</f>
        <v>0</v>
      </c>
      <c r="D10" s="15"/>
      <c r="E10" s="16"/>
      <c r="F10" s="24" t="str">
        <f>IF(WasserTable[[#This Row],[Zählerstand Kalt David]]&lt;&gt;"",WasserTable[[#This Row],[Zählerstand Kalt David]]-D9,"")</f>
        <v/>
      </c>
      <c r="G10" s="42" t="str">
        <f>IF(WasserTable[[#This Row],[Zählerstand Warm David]]&lt;&gt;0,WasserTable[[#This Row],[Zählerstand Warm David]]-E9,"")</f>
        <v/>
      </c>
      <c r="H10" s="26" t="e">
        <f>WasserTable[[#This Row],[Verbrauch Kalt David]]+WasserTable[[#This Row],[Verbrauch Warm David]]</f>
        <v>#VALUE!</v>
      </c>
      <c r="I10" s="18"/>
      <c r="J10" s="19"/>
      <c r="K10" s="37" t="str">
        <f>IF(WasserTable[[#This Row],[Zählerstand Kalt Sarah]]&lt;&gt;"",I9-WasserTable[[#This Row],[Zählerstand Kalt Sarah]],"")</f>
        <v/>
      </c>
      <c r="L10" s="38" t="str">
        <f>IF(WasserTable[[#This Row],[Zählerstand Warm Sarah]]&lt;&gt;"",J9-WasserTable[[#This Row],[Zählerstand Warm Sarah]],"")</f>
        <v/>
      </c>
      <c r="M10" s="39" t="e">
        <f>WasserTable[[#This Row],[Verbrauch Warm Sarah]]+WasserTable[[#This Row],[Verbrauch Kalt Sarah]]</f>
        <v>#VALUE!</v>
      </c>
      <c r="N10" s="40" t="e">
        <f>100/(WasserTable[[#This Row],[Verbrauch Warm David]]+WasserTable[[#This Row],[Verbrauch Warm Sarah]])*WasserTable[[#This Row],[Verbrauch Warm Sarah]]</f>
        <v>#VALUE!</v>
      </c>
      <c r="O10" s="33" t="e">
        <f>100/(WasserTable[[#This Row],[Verbrauch gesamt David]]+WasserTable[[#This Row],[Verbrauch gesamt Sarah]])*WasserTable[[#This Row],[Verbrauch gesamt Sarah]]</f>
        <v>#VALUE!</v>
      </c>
    </row>
    <row r="11">
      <c r="A11" s="33"/>
      <c r="B11" s="22"/>
      <c r="C11" s="23">
        <f>WasserTable[[#This Row],[Zählerstand gesamt]]-B10</f>
        <v>0</v>
      </c>
      <c r="D11" s="15"/>
      <c r="E11" s="16"/>
      <c r="F11" s="24" t="str">
        <f>IF(WasserTable[[#This Row],[Zählerstand Kalt David]]&lt;&gt;"",WasserTable[[#This Row],[Zählerstand Kalt David]]-D10,"")</f>
        <v/>
      </c>
      <c r="G11" s="42" t="str">
        <f>IF(WasserTable[[#This Row],[Zählerstand Warm David]]&lt;&gt;0,WasserTable[[#This Row],[Zählerstand Warm David]]-E10,"")</f>
        <v/>
      </c>
      <c r="H11" s="26" t="e">
        <f>WasserTable[[#This Row],[Verbrauch Kalt David]]+WasserTable[[#This Row],[Verbrauch Warm David]]</f>
        <v>#VALUE!</v>
      </c>
      <c r="I11" s="27"/>
      <c r="J11" s="28"/>
      <c r="K11" s="29" t="str">
        <f>IF(WasserTable[[#This Row],[Zählerstand Kalt Sarah]]&lt;&gt;"",I10-WasserTable[[#This Row],[Zählerstand Kalt Sarah]],"")</f>
        <v/>
      </c>
      <c r="L11" s="30" t="str">
        <f>IF(WasserTable[[#This Row],[Zählerstand Warm Sarah]]&lt;&gt;"",J10-WasserTable[[#This Row],[Zählerstand Warm Sarah]],"")</f>
        <v/>
      </c>
      <c r="M11" s="31" t="e">
        <f>WasserTable[[#This Row],[Verbrauch Warm Sarah]]+WasserTable[[#This Row],[Verbrauch Kalt Sarah]]</f>
        <v>#VALUE!</v>
      </c>
      <c r="N11" s="32" t="e">
        <f>100/(WasserTable[[#This Row],[Verbrauch Warm David]]+WasserTable[[#This Row],[Verbrauch Warm Sarah]])*WasserTable[[#This Row],[Verbrauch Warm Sarah]]</f>
        <v>#VALUE!</v>
      </c>
      <c r="O11" s="33" t="e">
        <f>100/(WasserTable[[#This Row],[Verbrauch gesamt David]]+WasserTable[[#This Row],[Verbrauch gesamt Sarah]])*WasserTable[[#This Row],[Verbrauch gesamt Sarah]]</f>
        <v>#VALUE!</v>
      </c>
    </row>
    <row r="12">
      <c r="A12" s="13"/>
      <c r="B12" s="35"/>
      <c r="C12" s="36">
        <f>WasserTable[[#This Row],[Zählerstand gesamt]]-B11</f>
        <v>0</v>
      </c>
      <c r="D12" s="15"/>
      <c r="E12" s="16"/>
      <c r="F12" s="24" t="str">
        <f>IF(WasserTable[[#This Row],[Zählerstand Kalt David]]&lt;&gt;"",WasserTable[[#This Row],[Zählerstand Kalt David]]-D11,"")</f>
        <v/>
      </c>
      <c r="G12" s="42" t="str">
        <f>IF(WasserTable[[#This Row],[Zählerstand Warm David]]&lt;&gt;0,WasserTable[[#This Row],[Zählerstand Warm David]]-E11,"")</f>
        <v/>
      </c>
      <c r="H12" s="26" t="e">
        <f>WasserTable[[#This Row],[Verbrauch Kalt David]]+WasserTable[[#This Row],[Verbrauch Warm David]]</f>
        <v>#VALUE!</v>
      </c>
      <c r="I12" s="18"/>
      <c r="J12" s="19"/>
      <c r="K12" s="37" t="str">
        <f>IF(WasserTable[[#This Row],[Zählerstand Kalt Sarah]]&lt;&gt;"",I11-WasserTable[[#This Row],[Zählerstand Kalt Sarah]],"")</f>
        <v/>
      </c>
      <c r="L12" s="38" t="str">
        <f>IF(WasserTable[[#This Row],[Zählerstand Warm Sarah]]&lt;&gt;"",J11-WasserTable[[#This Row],[Zählerstand Warm Sarah]],"")</f>
        <v/>
      </c>
      <c r="M12" s="39" t="e">
        <f>WasserTable[[#This Row],[Verbrauch Warm Sarah]]+WasserTable[[#This Row],[Verbrauch Kalt Sarah]]</f>
        <v>#VALUE!</v>
      </c>
      <c r="N12" s="40" t="e">
        <f>100/(WasserTable[[#This Row],[Verbrauch Warm David]]+WasserTable[[#This Row],[Verbrauch Warm Sarah]])*WasserTable[[#This Row],[Verbrauch Warm Sarah]]</f>
        <v>#VALUE!</v>
      </c>
      <c r="O12" s="33" t="e">
        <f>100/(WasserTable[[#This Row],[Verbrauch gesamt David]]+WasserTable[[#This Row],[Verbrauch gesamt Sarah]])*WasserTable[[#This Row],[Verbrauch gesamt Sarah]]</f>
        <v>#VALUE!</v>
      </c>
    </row>
    <row r="13">
      <c r="A13" s="33"/>
      <c r="B13" s="22"/>
      <c r="C13" s="23">
        <f>WasserTable[[#This Row],[Zählerstand gesamt]]-B12</f>
        <v>0</v>
      </c>
      <c r="D13" s="15"/>
      <c r="E13" s="16"/>
      <c r="F13" s="24" t="str">
        <f>IF(WasserTable[[#This Row],[Zählerstand Kalt David]]&lt;&gt;"",WasserTable[[#This Row],[Zählerstand Kalt David]]-D12,"")</f>
        <v/>
      </c>
      <c r="G13" s="42" t="str">
        <f>IF(WasserTable[[#This Row],[Zählerstand Warm David]]&lt;&gt;0,WasserTable[[#This Row],[Zählerstand Warm David]]-E12,"")</f>
        <v/>
      </c>
      <c r="H13" s="26" t="e">
        <f>WasserTable[[#This Row],[Verbrauch Kalt David]]+WasserTable[[#This Row],[Verbrauch Warm David]]</f>
        <v>#VALUE!</v>
      </c>
      <c r="I13" s="27"/>
      <c r="J13" s="28"/>
      <c r="K13" s="29" t="str">
        <f>IF(WasserTable[[#This Row],[Zählerstand Kalt Sarah]]&lt;&gt;"",I12-WasserTable[[#This Row],[Zählerstand Kalt Sarah]],"")</f>
        <v/>
      </c>
      <c r="L13" s="30" t="str">
        <f>IF(WasserTable[[#This Row],[Zählerstand Warm Sarah]]&lt;&gt;"",J12-WasserTable[[#This Row],[Zählerstand Warm Sarah]],"")</f>
        <v/>
      </c>
      <c r="M13" s="31" t="e">
        <f>WasserTable[[#This Row],[Verbrauch Warm Sarah]]+WasserTable[[#This Row],[Verbrauch Kalt Sarah]]</f>
        <v>#VALUE!</v>
      </c>
      <c r="N13" s="32" t="e">
        <f>100/(WasserTable[[#This Row],[Verbrauch Warm David]]+WasserTable[[#This Row],[Verbrauch Warm Sarah]])*WasserTable[[#This Row],[Verbrauch Warm Sarah]]</f>
        <v>#VALUE!</v>
      </c>
      <c r="O13" s="33" t="e">
        <f>100/(WasserTable[[#This Row],[Verbrauch gesamt David]]+WasserTable[[#This Row],[Verbrauch gesamt Sarah]])*WasserTable[[#This Row],[Verbrauch gesamt Sarah]]</f>
        <v>#VALUE!</v>
      </c>
    </row>
    <row r="14">
      <c r="A14" s="13"/>
      <c r="B14" s="35"/>
      <c r="C14" s="36">
        <f>WasserTable[[#This Row],[Zählerstand gesamt]]-B13</f>
        <v>0</v>
      </c>
      <c r="D14" s="15"/>
      <c r="E14" s="16"/>
      <c r="F14" s="24" t="str">
        <f>IF(WasserTable[[#This Row],[Zählerstand Kalt David]]&lt;&gt;"",WasserTable[[#This Row],[Zählerstand Kalt David]]-D13,"")</f>
        <v/>
      </c>
      <c r="G14" s="42" t="str">
        <f>IF(WasserTable[[#This Row],[Zählerstand Warm David]]&lt;&gt;0,WasserTable[[#This Row],[Zählerstand Warm David]]-E13,"")</f>
        <v/>
      </c>
      <c r="H14" s="26" t="e">
        <f>WasserTable[[#This Row],[Verbrauch Kalt David]]+WasserTable[[#This Row],[Verbrauch Warm David]]</f>
        <v>#VALUE!</v>
      </c>
      <c r="I14" s="18"/>
      <c r="J14" s="19"/>
      <c r="K14" s="37" t="str">
        <f>IF(WasserTable[[#This Row],[Zählerstand Kalt Sarah]]&lt;&gt;"",I13-WasserTable[[#This Row],[Zählerstand Kalt Sarah]],"")</f>
        <v/>
      </c>
      <c r="L14" s="38" t="str">
        <f>IF(WasserTable[[#This Row],[Zählerstand Warm Sarah]]&lt;&gt;"",J13-WasserTable[[#This Row],[Zählerstand Warm Sarah]],"")</f>
        <v/>
      </c>
      <c r="M14" s="39" t="e">
        <f>WasserTable[[#This Row],[Verbrauch Warm Sarah]]+WasserTable[[#This Row],[Verbrauch Kalt Sarah]]</f>
        <v>#VALUE!</v>
      </c>
      <c r="N14" s="40" t="e">
        <f>100/(WasserTable[[#This Row],[Verbrauch Warm David]]+WasserTable[[#This Row],[Verbrauch Warm Sarah]])*WasserTable[[#This Row],[Verbrauch Warm Sarah]]</f>
        <v>#VALUE!</v>
      </c>
      <c r="O14" s="33" t="e">
        <f>100/(WasserTable[[#This Row],[Verbrauch gesamt David]]+WasserTable[[#This Row],[Verbrauch gesamt Sarah]])*WasserTable[[#This Row],[Verbrauch gesamt Sarah]]</f>
        <v>#VALUE!</v>
      </c>
    </row>
    <row r="15">
      <c r="A15" s="33"/>
      <c r="B15" s="22"/>
      <c r="C15" s="23">
        <f>WasserTable[[#This Row],[Zählerstand gesamt]]-B14</f>
        <v>0</v>
      </c>
      <c r="D15" s="15"/>
      <c r="E15" s="16"/>
      <c r="F15" s="24" t="str">
        <f>IF(WasserTable[[#This Row],[Zählerstand Kalt David]]&lt;&gt;"",WasserTable[[#This Row],[Zählerstand Kalt David]]-D14,"")</f>
        <v/>
      </c>
      <c r="G15" s="42" t="str">
        <f>IF(WasserTable[[#This Row],[Zählerstand Warm David]]&lt;&gt;0,WasserTable[[#This Row],[Zählerstand Warm David]]-E14,"")</f>
        <v/>
      </c>
      <c r="H15" s="26" t="e">
        <f>WasserTable[[#This Row],[Verbrauch Kalt David]]+WasserTable[[#This Row],[Verbrauch Warm David]]</f>
        <v>#VALUE!</v>
      </c>
      <c r="I15" s="27"/>
      <c r="J15" s="28"/>
      <c r="K15" s="29" t="str">
        <f>IF(WasserTable[[#This Row],[Zählerstand Kalt Sarah]]&lt;&gt;"",I14-WasserTable[[#This Row],[Zählerstand Kalt Sarah]],"")</f>
        <v/>
      </c>
      <c r="L15" s="30" t="str">
        <f>IF(WasserTable[[#This Row],[Zählerstand Warm Sarah]]&lt;&gt;"",J14-WasserTable[[#This Row],[Zählerstand Warm Sarah]],"")</f>
        <v/>
      </c>
      <c r="M15" s="31" t="e">
        <f>WasserTable[[#This Row],[Verbrauch Warm Sarah]]+WasserTable[[#This Row],[Verbrauch Kalt Sarah]]</f>
        <v>#VALUE!</v>
      </c>
      <c r="N15" s="32" t="e">
        <f>100/(WasserTable[[#This Row],[Verbrauch Warm David]]+WasserTable[[#This Row],[Verbrauch Warm Sarah]])*WasserTable[[#This Row],[Verbrauch Warm Sarah]]</f>
        <v>#VALUE!</v>
      </c>
      <c r="O15" s="33" t="e">
        <f>100/(WasserTable[[#This Row],[Verbrauch gesamt David]]+WasserTable[[#This Row],[Verbrauch gesamt Sarah]])*WasserTable[[#This Row],[Verbrauch gesamt Sarah]]</f>
        <v>#VALUE!</v>
      </c>
    </row>
    <row r="16">
      <c r="A16" s="13"/>
      <c r="B16" s="35"/>
      <c r="C16" s="36">
        <f>WasserTable[[#This Row],[Zählerstand gesamt]]-B15</f>
        <v>0</v>
      </c>
      <c r="D16" s="15"/>
      <c r="E16" s="16"/>
      <c r="F16" s="24" t="str">
        <f>IF(WasserTable[[#This Row],[Zählerstand Kalt David]]&lt;&gt;"",WasserTable[[#This Row],[Zählerstand Kalt David]]-D15,"")</f>
        <v/>
      </c>
      <c r="G16" s="42" t="str">
        <f>IF(WasserTable[[#This Row],[Zählerstand Warm David]]&lt;&gt;0,WasserTable[[#This Row],[Zählerstand Warm David]]-E15,"")</f>
        <v/>
      </c>
      <c r="H16" s="26" t="e">
        <f>WasserTable[[#This Row],[Verbrauch Kalt David]]+WasserTable[[#This Row],[Verbrauch Warm David]]</f>
        <v>#VALUE!</v>
      </c>
      <c r="I16" s="18"/>
      <c r="J16" s="19"/>
      <c r="K16" s="37" t="str">
        <f>IF(WasserTable[[#This Row],[Zählerstand Kalt Sarah]]&lt;&gt;"",I15-WasserTable[[#This Row],[Zählerstand Kalt Sarah]],"")</f>
        <v/>
      </c>
      <c r="L16" s="38" t="str">
        <f>IF(WasserTable[[#This Row],[Zählerstand Warm Sarah]]&lt;&gt;"",J15-WasserTable[[#This Row],[Zählerstand Warm Sarah]],"")</f>
        <v/>
      </c>
      <c r="M16" s="39" t="e">
        <f>WasserTable[[#This Row],[Verbrauch Warm Sarah]]+WasserTable[[#This Row],[Verbrauch Kalt Sarah]]</f>
        <v>#VALUE!</v>
      </c>
      <c r="N16" s="40" t="e">
        <f>100/(WasserTable[[#This Row],[Verbrauch Warm David]]+WasserTable[[#This Row],[Verbrauch Warm Sarah]])*WasserTable[[#This Row],[Verbrauch Warm Sarah]]</f>
        <v>#VALUE!</v>
      </c>
      <c r="O16" s="33" t="e">
        <f>100/(WasserTable[[#This Row],[Verbrauch gesamt David]]+WasserTable[[#This Row],[Verbrauch gesamt Sarah]])*WasserTable[[#This Row],[Verbrauch gesamt Sarah]]</f>
        <v>#VALUE!</v>
      </c>
    </row>
    <row r="17">
      <c r="A17" s="21"/>
      <c r="B17" s="22"/>
      <c r="C17" s="23">
        <f>WasserTable[[#This Row],[Zählerstand gesamt]]-B16</f>
        <v>0</v>
      </c>
      <c r="D17" s="43"/>
      <c r="E17" s="44"/>
      <c r="F17" s="45" t="str">
        <f>IF(WasserTable[[#This Row],[Zählerstand Kalt David]]&lt;&gt;"",WasserTable[[#This Row],[Zählerstand Kalt David]]-D16,"")</f>
        <v/>
      </c>
      <c r="G17" s="46" t="str">
        <f>IF(WasserTable[[#This Row],[Zählerstand Warm David]]&lt;&gt;0,WasserTable[[#This Row],[Zählerstand Warm David]]-E16,"")</f>
        <v/>
      </c>
      <c r="H17" s="47" t="e">
        <f>WasserTable[[#This Row],[Verbrauch Kalt David]]+WasserTable[[#This Row],[Verbrauch Warm David]]</f>
        <v>#VALUE!</v>
      </c>
      <c r="I17" s="48"/>
      <c r="J17" s="49"/>
      <c r="K17" s="29" t="str">
        <f>IF(WasserTable[[#This Row],[Zählerstand Kalt Sarah]]&lt;&gt;"",I16-WasserTable[[#This Row],[Zählerstand Kalt Sarah]],"")</f>
        <v/>
      </c>
      <c r="L17" s="30" t="str">
        <f>IF(WasserTable[[#This Row],[Zählerstand Warm Sarah]]&lt;&gt;"",J16-WasserTable[[#This Row],[Zählerstand Warm Sarah]],"")</f>
        <v/>
      </c>
      <c r="M17" s="50" t="e">
        <f>WasserTable[[#This Row],[Verbrauch Warm Sarah]]+WasserTable[[#This Row],[Verbrauch Kalt Sarah]]</f>
        <v>#VALUE!</v>
      </c>
      <c r="N17" s="51" t="e">
        <f>100/(WasserTable[[#This Row],[Verbrauch Warm David]]+WasserTable[[#This Row],[Verbrauch Warm Sarah]])*WasserTable[[#This Row],[Verbrauch Warm Sarah]]</f>
        <v>#VALUE!</v>
      </c>
      <c r="O17" s="21" t="e">
        <f>100/(WasserTable[[#This Row],[Verbrauch gesamt David]]+WasserTable[[#This Row],[Verbrauch gesamt Sarah]])*WasserTable[[#This Row],[Verbrauch gesamt Sarah]]</f>
        <v>#VALUE!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2">
    <tabColor rgb="FFC00000"/>
    <outlinePr applyStyles="0" summaryBelow="1" summaryRight="1" showOutlineSymbols="1"/>
    <pageSetUpPr autoPageBreaks="1" fitToPage="0"/>
  </sheetPr>
  <sheetViews>
    <sheetView zoomScale="100" workbookViewId="0">
      <selection activeCell="A6" activeCellId="0" sqref="A6"/>
    </sheetView>
  </sheetViews>
  <sheetFormatPr defaultColWidth="9.140625" defaultRowHeight="14.25"/>
  <cols>
    <col customWidth="1" min="1" max="1" width="12.28515625"/>
    <col customWidth="1" min="2" max="2" width="14.5703125"/>
    <col customWidth="1" min="3" max="3" width="15.42578125"/>
  </cols>
  <sheetData>
    <row r="1">
      <c r="A1" s="52" t="s">
        <v>32</v>
      </c>
      <c r="B1" s="53" t="s">
        <v>33</v>
      </c>
      <c r="C1" t="s">
        <v>34</v>
      </c>
    </row>
    <row r="2">
      <c r="A2" t="s">
        <v>35</v>
      </c>
      <c r="B2" s="54">
        <v>208</v>
      </c>
    </row>
    <row r="3">
      <c r="A3" t="s">
        <v>36</v>
      </c>
      <c r="B3" s="54">
        <v>74.689999999999998</v>
      </c>
    </row>
    <row r="4">
      <c r="A4" t="s">
        <v>37</v>
      </c>
      <c r="B4" s="54">
        <v>100.83</v>
      </c>
    </row>
    <row r="5">
      <c r="A5" t="s">
        <v>38</v>
      </c>
      <c r="B5" s="54">
        <v>135.87</v>
      </c>
    </row>
    <row r="6">
      <c r="A6" t="s">
        <v>39</v>
      </c>
      <c r="B6" s="54">
        <f>SUBTOTAL(109,Table1[Kosten])</f>
        <v>519.38999999999999</v>
      </c>
    </row>
    <row r="7">
      <c r="B7" s="5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3">
    <tabColor rgb="FFC0000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0625" defaultRowHeight="15"/>
  <cols>
    <col customWidth="1" min="1" max="1" width="10.42578125"/>
    <col customWidth="1" min="2" max="2" width="15.5703125"/>
    <col bestFit="1" customWidth="1" min="3" max="3" width="10.5703125"/>
  </cols>
  <sheetData>
    <row r="1">
      <c r="A1" s="52" t="s">
        <v>32</v>
      </c>
      <c r="B1" s="53" t="s">
        <v>33</v>
      </c>
      <c r="C1" t="s">
        <v>34</v>
      </c>
    </row>
    <row r="2">
      <c r="A2" t="s">
        <v>40</v>
      </c>
      <c r="B2" s="56">
        <v>160.93000000000001</v>
      </c>
    </row>
    <row r="3">
      <c r="A3" t="s">
        <v>41</v>
      </c>
      <c r="B3" s="56">
        <v>125.18000000000001</v>
      </c>
    </row>
    <row r="4">
      <c r="A4" t="s">
        <v>42</v>
      </c>
      <c r="B4" s="56">
        <v>104.86</v>
      </c>
    </row>
    <row r="5">
      <c r="A5" t="s">
        <v>43</v>
      </c>
      <c r="B5" s="56">
        <v>84.25</v>
      </c>
    </row>
    <row r="6">
      <c r="A6" t="s">
        <v>44</v>
      </c>
      <c r="B6" s="56">
        <v>83.840000000000003</v>
      </c>
    </row>
    <row r="7">
      <c r="A7" t="s">
        <v>45</v>
      </c>
      <c r="B7" s="56">
        <v>69.939999999999998</v>
      </c>
    </row>
    <row r="8">
      <c r="A8" t="s">
        <v>46</v>
      </c>
      <c r="B8" s="56">
        <v>70.560000000000002</v>
      </c>
    </row>
    <row r="9">
      <c r="A9" t="s">
        <v>39</v>
      </c>
      <c r="B9" s="54">
        <f>SUBTOTAL(109,Table15[Kosten])</f>
        <v>699.55999999999995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C00000"/>
    <outlinePr applyStyles="0" summaryBelow="1" summaryRight="1" showOutlineSymbols="1"/>
    <pageSetUpPr autoPageBreaks="1" fitToPage="0"/>
  </sheetPr>
  <sheetViews>
    <sheetView zoomScale="100" workbookViewId="0">
      <selection activeCell="C7" activeCellId="0" sqref="C7"/>
    </sheetView>
  </sheetViews>
  <sheetFormatPr defaultColWidth="11.42578125" defaultRowHeight="15"/>
  <cols>
    <col customWidth="1" min="3" max="3" width="15"/>
  </cols>
  <sheetData>
    <row r="1">
      <c r="A1" s="52" t="s">
        <v>32</v>
      </c>
      <c r="B1" s="53" t="s">
        <v>33</v>
      </c>
      <c r="C1" s="53" t="s">
        <v>47</v>
      </c>
      <c r="D1" t="s">
        <v>34</v>
      </c>
    </row>
    <row r="2">
      <c r="A2" t="s">
        <v>48</v>
      </c>
      <c r="B2" s="56">
        <v>75.150000000000006</v>
      </c>
      <c r="C2" s="1">
        <v>294.47000000000003</v>
      </c>
    </row>
    <row r="3">
      <c r="A3" t="s">
        <v>49</v>
      </c>
      <c r="B3" s="56">
        <v>66.939999999999998</v>
      </c>
      <c r="C3" s="1">
        <v>252.22</v>
      </c>
    </row>
    <row r="4">
      <c r="A4" t="s">
        <v>36</v>
      </c>
      <c r="B4" s="56">
        <v>107.01000000000001</v>
      </c>
      <c r="C4" s="1">
        <v>445.08999999999997</v>
      </c>
    </row>
    <row r="5">
      <c r="A5" t="s">
        <v>37</v>
      </c>
      <c r="B5" s="56">
        <v>130.77000000000001</v>
      </c>
      <c r="C5" s="1">
        <v>556.60000000000002</v>
      </c>
    </row>
    <row r="6">
      <c r="A6" t="s">
        <v>38</v>
      </c>
      <c r="B6" s="56">
        <v>174.80000000000001</v>
      </c>
      <c r="C6" s="1">
        <v>760.38999999999999</v>
      </c>
    </row>
    <row r="7">
      <c r="A7" t="s">
        <v>39</v>
      </c>
      <c r="B7" s="54">
        <f>SUBTOTAL(109,Kosten2025q2[Kosten])</f>
        <v>554.67000000000007</v>
      </c>
      <c r="C7" s="57">
        <f>SUBTOTAL(109,Kosten2025q2[Verbrauch])</f>
        <v>2308.77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C7" activeCellId="0" sqref="C7"/>
    </sheetView>
  </sheetViews>
  <sheetFormatPr defaultColWidth="11.42578125" defaultRowHeight="14.25"/>
  <cols>
    <col customWidth="1" min="2" max="2" width="16.421875"/>
    <col customWidth="1" min="3" max="3" width="15"/>
  </cols>
  <sheetData>
    <row r="1">
      <c r="A1" s="52" t="s">
        <v>32</v>
      </c>
      <c r="B1" s="53" t="s">
        <v>33</v>
      </c>
      <c r="C1" s="53" t="s">
        <v>47</v>
      </c>
      <c r="D1" t="s">
        <v>34</v>
      </c>
    </row>
    <row r="2">
      <c r="A2" t="s">
        <v>50</v>
      </c>
      <c r="B2" s="58">
        <v>156.80000000000001</v>
      </c>
      <c r="C2" s="1">
        <v>756</v>
      </c>
    </row>
    <row r="3">
      <c r="A3" t="s">
        <v>51</v>
      </c>
      <c r="B3" s="56">
        <v>122</v>
      </c>
      <c r="C3" s="1">
        <v>585</v>
      </c>
    </row>
    <row r="4">
      <c r="A4" s="59" t="s">
        <v>52</v>
      </c>
      <c r="B4" s="56">
        <v>116.19</v>
      </c>
      <c r="C4" s="1">
        <v>450</v>
      </c>
    </row>
    <row r="5">
      <c r="A5" s="59" t="s">
        <v>43</v>
      </c>
      <c r="B5" s="56">
        <v>85.299999999999997</v>
      </c>
      <c r="C5" s="1">
        <v>389</v>
      </c>
    </row>
    <row r="6">
      <c r="A6" s="59" t="s">
        <v>53</v>
      </c>
      <c r="B6" s="56">
        <v>74.359999999999999</v>
      </c>
      <c r="C6" s="1">
        <v>330</v>
      </c>
    </row>
    <row r="7">
      <c r="A7" s="59" t="s">
        <v>54</v>
      </c>
      <c r="B7" s="56">
        <v>74.459999999999994</v>
      </c>
      <c r="C7" s="1">
        <v>333</v>
      </c>
    </row>
    <row r="8">
      <c r="A8" t="s">
        <v>39</v>
      </c>
      <c r="B8" s="54">
        <f>SUBTOTAL(109,Kosten2026q1[Kosten])</f>
        <v>629.11000000000001</v>
      </c>
      <c r="C8" s="57">
        <f>SUBTOTAL(109,Kosten2026q1[Verbrauch])</f>
        <v>2843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Schmoranz</dc:creator>
  <cp:revision>3</cp:revision>
  <dcterms:created xsi:type="dcterms:W3CDTF">2015-06-05T18:19:34Z</dcterms:created>
  <dcterms:modified xsi:type="dcterms:W3CDTF">2026-07-12T20:59:33Z</dcterms:modified>
</cp:coreProperties>
</file>